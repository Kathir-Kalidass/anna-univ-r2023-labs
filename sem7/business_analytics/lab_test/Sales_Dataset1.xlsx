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ATHIR\business_analytics\lab_test\"/>
    </mc:Choice>
  </mc:AlternateContent>
  <xr:revisionPtr revIDLastSave="0" documentId="13_ncr:1_{DC2200FE-C7CA-4753-8803-DF53570D8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5" i="1"/>
  <c r="H6" i="1"/>
  <c r="H7" i="1"/>
  <c r="H8" i="1"/>
  <c r="H9" i="1"/>
  <c r="H10" i="1"/>
  <c r="H11" i="1"/>
  <c r="H3" i="1"/>
  <c r="G3" i="1"/>
  <c r="G4" i="1"/>
  <c r="G5" i="1"/>
  <c r="G6" i="1"/>
  <c r="G7" i="1"/>
  <c r="G8" i="1"/>
  <c r="G9" i="1"/>
  <c r="G10" i="1"/>
  <c r="G11" i="1"/>
  <c r="G2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<sst xmlns="http://schemas.openxmlformats.org/spreadsheetml/2006/main" count="25" uniqueCount="25">
  <si>
    <t>S.No</t>
  </si>
  <si>
    <t>Product Name</t>
  </si>
  <si>
    <t>Sales Amount (Rs)</t>
  </si>
  <si>
    <t>Quantity Sold</t>
  </si>
  <si>
    <t>Cost Price (Rs)</t>
  </si>
  <si>
    <t>Discount %</t>
  </si>
  <si>
    <t>Amarilla</t>
  </si>
  <si>
    <t>Carretera</t>
  </si>
  <si>
    <t>Montana</t>
  </si>
  <si>
    <t>Paseo</t>
  </si>
  <si>
    <t>VTT</t>
  </si>
  <si>
    <t>Velo</t>
  </si>
  <si>
    <t>Maxima</t>
  </si>
  <si>
    <t>Zenith</t>
  </si>
  <si>
    <t>Orion</t>
  </si>
  <si>
    <t>Solara</t>
  </si>
  <si>
    <t>Calculation</t>
  </si>
  <si>
    <t>Result</t>
  </si>
  <si>
    <t>Maximum Sales Amount</t>
  </si>
  <si>
    <t>Minimum Sales Amount</t>
  </si>
  <si>
    <t>Average Sales</t>
  </si>
  <si>
    <t>Total Sales</t>
  </si>
  <si>
    <t>Maximum Quantity</t>
  </si>
  <si>
    <t>Square Root of Quantity</t>
  </si>
  <si>
    <t>Rounded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</si>
</sst>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9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1A5C2A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169" fontId="2" fillId="3" borderId="2" xfId="0" applyNumberFormat="1" applyFont="1" applyFill="1" applyBorder="1" applyAlignment="1">
      <alignment horizontal="center" vertical="center"/>
    </xf>
    <xf numFmtId="169" fontId="2" fillId="4" borderId="2" xfId="0" applyNumberFormat="1" applyFont="1" applyFill="1" applyBorder="1" applyAlignment="1">
      <alignment horizontal="center" vertical="center"/>
    </xf>
    <xf numFmtId="169" fontId="3" fillId="5" borderId="2" xfId="0" applyNumberFormat="1" applyFont="1" applyFill="1" applyBorder="1" applyAlignment="1">
      <alignment horizontal="center" vertical="center"/>
    </xf>
    <xf numFmtId="16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9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F3864"/>
        </left>
        <right style="medium">
          <color rgb="FF1F3864"/>
        </right>
        <top/>
        <bottom/>
      </border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5C2A"/>
        <name val="Calibri"/>
        <scheme val="none"/>
      </font>
      <numFmt numFmtId="164" formatCode="0.00&quot;%&quot;"/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5C2A"/>
        <name val="Calibri"/>
        <scheme val="none"/>
      </font>
      <numFmt numFmtId="4" formatCode="#,##0.00"/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5C2A"/>
        <name val="Calibri"/>
        <scheme val="none"/>
      </font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5C2A"/>
        <name val="Calibri"/>
        <scheme val="none"/>
      </font>
      <numFmt numFmtId="169" formatCode="&quot;₹&quot;\ #,##0.00"/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5C2A"/>
        <name val="Calibri"/>
        <scheme val="none"/>
      </font>
      <fill>
        <patternFill patternType="solid">
          <fgColor indexed="64"/>
          <bgColor rgb="FFE8F5E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5C2A"/>
        <name val="Calibri"/>
        <scheme val="none"/>
      </font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063B5-E411-4298-A16B-9B257ECF9F52}" name="Table1" displayName="Table1" ref="A1:H11" totalsRowShown="0" headerRowDxfId="2">
  <autoFilter ref="A1:H11" xr:uid="{0D8063B5-E411-4298-A16B-9B257ECF9F52}"/>
  <tableColumns count="8">
    <tableColumn id="1" xr3:uid="{BEE66A2B-6A1C-4EF8-B5D9-077CFEB7F70D}" name="S.No" dataDxfId="9"/>
    <tableColumn id="2" xr3:uid="{64D51B89-012F-4D30-973A-D01DBF4E71FD}" name="Product Name" dataDxfId="8"/>
    <tableColumn id="3" xr3:uid="{DE607499-3C74-4C2B-9007-452426CA8D8E}" name="Sales Amount (Rs)" dataDxfId="7"/>
    <tableColumn id="4" xr3:uid="{835603D1-267B-4249-B3F0-22084DBF8B0F}" name="Quantity Sold" dataDxfId="6"/>
    <tableColumn id="5" xr3:uid="{5E5226BF-5B83-43AC-B4E4-F36423F4213C}" name="Cost Price (Rs)" dataDxfId="5"/>
    <tableColumn id="6" xr3:uid="{CE59778A-E284-4BB2-AD36-6DA993433DAE}" name="Discount %" dataDxfId="4"/>
    <tableColumn id="7" xr3:uid="{076B7931-DCF6-4EDB-94D9-47255F88C62C}" name="Square Root of Quantity">
      <calculatedColumnFormula>SQRT(D2)</calculatedColumnFormula>
    </tableColumn>
    <tableColumn id="8" xr3:uid="{9818DE2E-293E-42D2-B8A8-1E101D7995DC}" name="Rounded Profit Margin" dataDxfId="3">
      <calculatedColumnFormula>ROUND(((C2-E2)/C2),2)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9C17E6-5B00-4BED-B76D-B33A47CD4CE0}" name="Table2" displayName="Table2" ref="J4:K9" totalsRowShown="0" headerRowDxfId="0">
  <autoFilter ref="J4:K9" xr:uid="{709C17E6-5B00-4BED-B76D-B33A47CD4CE0}"/>
  <tableColumns count="2">
    <tableColumn id="1" xr3:uid="{1508EA4F-734C-4DC5-991F-BDD5A1B2E400}" name="Calculation"/>
    <tableColumn id="2" xr3:uid="{9FF59B4B-7288-4A81-97AF-14666F502757}" name="Resul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C1" workbookViewId="0">
      <pane ySplit="1" topLeftCell="A2" activePane="bottomLeft" state="frozen"/>
      <selection pane="bottomLeft" activeCell="J13" sqref="J13"/>
    </sheetView>
  </sheetViews>
  <sheetFormatPr defaultRowHeight="14.4" x14ac:dyDescent="0.3"/>
  <cols>
    <col min="1" max="1" width="6.88671875" customWidth="1"/>
    <col min="2" max="2" width="22" customWidth="1"/>
    <col min="3" max="3" width="22" style="19" customWidth="1"/>
    <col min="4" max="4" width="16" customWidth="1"/>
    <col min="5" max="5" width="20" customWidth="1"/>
    <col min="6" max="6" width="14" customWidth="1"/>
    <col min="7" max="7" width="22.5546875" customWidth="1"/>
    <col min="8" max="9" width="21.44140625" style="20" customWidth="1"/>
    <col min="10" max="10" width="22.88671875" customWidth="1"/>
    <col min="11" max="11" width="15.44140625" bestFit="1" customWidth="1"/>
  </cols>
  <sheetData>
    <row r="1" spans="1:11" ht="30" customHeight="1" thickBot="1" x14ac:dyDescent="0.35">
      <c r="A1" s="1" t="s">
        <v>0</v>
      </c>
      <c r="B1" s="1" t="s">
        <v>1</v>
      </c>
      <c r="C1" s="15" t="s">
        <v>2</v>
      </c>
      <c r="D1" s="1" t="s">
        <v>3</v>
      </c>
      <c r="E1" s="1" t="s">
        <v>4</v>
      </c>
      <c r="F1" s="1" t="s">
        <v>5</v>
      </c>
      <c r="G1" t="s">
        <v>23</v>
      </c>
      <c r="H1" s="20" t="s">
        <v>24</v>
      </c>
    </row>
    <row r="2" spans="1:11" ht="22.05" customHeight="1" x14ac:dyDescent="0.3">
      <c r="A2" s="2">
        <v>1</v>
      </c>
      <c r="B2" s="3" t="s">
        <v>6</v>
      </c>
      <c r="C2" s="16">
        <v>19037279.5</v>
      </c>
      <c r="D2" s="2">
        <v>155315</v>
      </c>
      <c r="E2" s="4">
        <v>14933012</v>
      </c>
      <c r="F2" s="5">
        <v>6.78</v>
      </c>
      <c r="G2">
        <f>SQRT(D2)</f>
        <v>394.10024105549593</v>
      </c>
      <c r="H2" s="20">
        <f>ROUND(((C2-E2)/C2),2)</f>
        <v>0.22</v>
      </c>
    </row>
    <row r="3" spans="1:11" ht="22.05" customHeight="1" x14ac:dyDescent="0.3">
      <c r="A3" s="6">
        <v>2</v>
      </c>
      <c r="B3" s="7" t="s">
        <v>7</v>
      </c>
      <c r="C3" s="17">
        <v>14937520.5</v>
      </c>
      <c r="D3" s="6">
        <v>146846</v>
      </c>
      <c r="E3" s="8">
        <v>11988503</v>
      </c>
      <c r="F3" s="9">
        <v>7.51</v>
      </c>
      <c r="G3">
        <f t="shared" ref="G3:G11" si="0">SQRT(D3)</f>
        <v>383.20490602287441</v>
      </c>
      <c r="H3" s="20">
        <f>ROUND(((C3-E3)/C3),2)</f>
        <v>0.2</v>
      </c>
    </row>
    <row r="4" spans="1:11" ht="22.05" customHeight="1" x14ac:dyDescent="0.3">
      <c r="A4" s="2">
        <v>3</v>
      </c>
      <c r="B4" s="3" t="s">
        <v>8</v>
      </c>
      <c r="C4" s="16">
        <v>16549834.5</v>
      </c>
      <c r="D4" s="2">
        <v>154198</v>
      </c>
      <c r="E4" s="4">
        <v>13276047</v>
      </c>
      <c r="F4" s="5">
        <v>7</v>
      </c>
      <c r="G4">
        <f t="shared" si="0"/>
        <v>392.68053173031126</v>
      </c>
      <c r="H4" s="20">
        <f t="shared" ref="H4:H11" si="1">ROUND(((C4-E4)/C4),2)</f>
        <v>0.2</v>
      </c>
      <c r="J4" s="14" t="s">
        <v>16</v>
      </c>
      <c r="K4" s="14" t="s">
        <v>17</v>
      </c>
    </row>
    <row r="5" spans="1:11" ht="22.05" customHeight="1" x14ac:dyDescent="0.3">
      <c r="A5" s="6">
        <v>4</v>
      </c>
      <c r="B5" s="7" t="s">
        <v>9</v>
      </c>
      <c r="C5" s="17">
        <v>35611662</v>
      </c>
      <c r="D5" s="6">
        <v>338239</v>
      </c>
      <c r="E5" s="8">
        <v>28213706</v>
      </c>
      <c r="F5" s="9">
        <v>7.3</v>
      </c>
      <c r="G5">
        <f t="shared" si="0"/>
        <v>581.58318407601848</v>
      </c>
      <c r="H5" s="20">
        <f t="shared" si="1"/>
        <v>0.21</v>
      </c>
      <c r="J5" t="s">
        <v>18</v>
      </c>
      <c r="K5" s="19">
        <f>MAX(C2:C11)</f>
        <v>35611662</v>
      </c>
    </row>
    <row r="6" spans="1:11" ht="22.05" customHeight="1" x14ac:dyDescent="0.3">
      <c r="A6" s="2">
        <v>5</v>
      </c>
      <c r="B6" s="3" t="s">
        <v>10</v>
      </c>
      <c r="C6" s="16">
        <v>21968533.5</v>
      </c>
      <c r="D6" s="2">
        <v>168783</v>
      </c>
      <c r="E6" s="4">
        <v>17477313</v>
      </c>
      <c r="F6" s="5">
        <v>6.63</v>
      </c>
      <c r="G6">
        <f t="shared" si="0"/>
        <v>410.83208248626346</v>
      </c>
      <c r="H6" s="20">
        <f t="shared" si="1"/>
        <v>0.2</v>
      </c>
      <c r="J6" t="s">
        <v>19</v>
      </c>
      <c r="K6" s="19">
        <f>MIN(C2:C11)</f>
        <v>9870000</v>
      </c>
    </row>
    <row r="7" spans="1:11" ht="22.05" customHeight="1" x14ac:dyDescent="0.3">
      <c r="A7" s="6">
        <v>6</v>
      </c>
      <c r="B7" s="7" t="s">
        <v>11</v>
      </c>
      <c r="C7" s="17">
        <v>19826768.5</v>
      </c>
      <c r="D7" s="6">
        <v>162424</v>
      </c>
      <c r="E7" s="8">
        <v>15944067</v>
      </c>
      <c r="F7" s="9">
        <v>7.95</v>
      </c>
      <c r="G7">
        <f t="shared" si="0"/>
        <v>403.01860999214415</v>
      </c>
      <c r="H7" s="20">
        <f t="shared" si="1"/>
        <v>0.2</v>
      </c>
      <c r="J7" t="s">
        <v>20</v>
      </c>
      <c r="K7" s="19">
        <f>AVERAGE(C2:C11)</f>
        <v>18435159.850000001</v>
      </c>
    </row>
    <row r="8" spans="1:11" ht="22.05" customHeight="1" x14ac:dyDescent="0.3">
      <c r="A8" s="10">
        <v>7</v>
      </c>
      <c r="B8" s="11" t="s">
        <v>12</v>
      </c>
      <c r="C8" s="18">
        <v>15480000</v>
      </c>
      <c r="D8" s="10">
        <v>102400</v>
      </c>
      <c r="E8" s="12">
        <v>11230000</v>
      </c>
      <c r="F8" s="13">
        <v>7.25</v>
      </c>
      <c r="G8">
        <f t="shared" si="0"/>
        <v>320</v>
      </c>
      <c r="H8" s="20">
        <f t="shared" si="1"/>
        <v>0.27</v>
      </c>
      <c r="J8" t="s">
        <v>21</v>
      </c>
      <c r="K8" s="19">
        <f>SUM(C2:C11)</f>
        <v>184351598.5</v>
      </c>
    </row>
    <row r="9" spans="1:11" ht="22.05" customHeight="1" x14ac:dyDescent="0.3">
      <c r="A9" s="10">
        <v>8</v>
      </c>
      <c r="B9" s="11" t="s">
        <v>13</v>
      </c>
      <c r="C9" s="18">
        <v>12750000</v>
      </c>
      <c r="D9" s="10">
        <v>88500</v>
      </c>
      <c r="E9" s="12">
        <v>9480000</v>
      </c>
      <c r="F9" s="13">
        <v>8.1</v>
      </c>
      <c r="G9">
        <f t="shared" si="0"/>
        <v>297.48949561287031</v>
      </c>
      <c r="H9" s="20">
        <f t="shared" si="1"/>
        <v>0.26</v>
      </c>
      <c r="J9" t="s">
        <v>22</v>
      </c>
      <c r="K9">
        <f>MAX(D2:D11)</f>
        <v>338239</v>
      </c>
    </row>
    <row r="10" spans="1:11" ht="22.05" customHeight="1" x14ac:dyDescent="0.3">
      <c r="A10" s="10">
        <v>9</v>
      </c>
      <c r="B10" s="11" t="s">
        <v>14</v>
      </c>
      <c r="C10" s="18">
        <v>18320000</v>
      </c>
      <c r="D10" s="10">
        <v>124600</v>
      </c>
      <c r="E10" s="12">
        <v>13650000</v>
      </c>
      <c r="F10" s="13">
        <v>6.5</v>
      </c>
      <c r="G10">
        <f t="shared" si="0"/>
        <v>352.98725189445582</v>
      </c>
      <c r="H10" s="20">
        <f t="shared" si="1"/>
        <v>0.25</v>
      </c>
    </row>
    <row r="11" spans="1:11" ht="22.05" customHeight="1" x14ac:dyDescent="0.3">
      <c r="A11" s="10">
        <v>10</v>
      </c>
      <c r="B11" s="11" t="s">
        <v>15</v>
      </c>
      <c r="C11" s="18">
        <v>9870000</v>
      </c>
      <c r="D11" s="10">
        <v>76300</v>
      </c>
      <c r="E11" s="12">
        <v>7210000</v>
      </c>
      <c r="F11" s="13">
        <v>9.4</v>
      </c>
      <c r="G11">
        <f t="shared" si="0"/>
        <v>276.22454633866266</v>
      </c>
      <c r="H11" s="20">
        <f t="shared" si="1"/>
        <v>0.27</v>
      </c>
    </row>
  </sheetData>
  <pageMargins left="0.75" right="0.75" top="1" bottom="1" header="0.5" footer="0.5"/>
  <pageSetup paperSize="9"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Kathir Kalidass</cp:lastModifiedBy>
  <dcterms:created xsi:type="dcterms:W3CDTF">2026-09-18T08:28:19Z</dcterms:created>
  <dcterms:modified xsi:type="dcterms:W3CDTF">2026-09-18T08:37:09Z</dcterms:modified>
</cp:coreProperties>
</file>