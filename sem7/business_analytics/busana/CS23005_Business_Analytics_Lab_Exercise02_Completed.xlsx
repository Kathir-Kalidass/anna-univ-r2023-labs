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 sheetId="1" state="visible" r:id="rId1"/>
    <sheet name="Part A - Data Prep" sheetId="2" state="visible" r:id="rId2"/>
    <sheet name="Part B - Formulas" sheetId="3" state="visible" r:id="rId3"/>
    <sheet name="Part C - Descriptive" sheetId="4" state="visible" r:id="rId4"/>
    <sheet name="Part D - Pivot Tables" sheetId="5" state="visible" r:id="rId5"/>
    <sheet name="Part E - Charts" sheetId="6" state="visible" r:id="rId6"/>
    <sheet name="Part F - Dashboard" sheetId="7" state="visible" r:id="rId7"/>
    <sheet name="Analytical Questions" sheetId="8" state="visible" r:id="rId8"/>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color rgb="002F5496"/>
      <sz val="14"/>
    </font>
    <font>
      <b val="1"/>
      <color rgb="00FFFFFF"/>
      <sz val="11"/>
    </font>
    <font>
      <b val="1"/>
      <color rgb="002F5496"/>
      <sz val="12"/>
    </font>
    <font>
      <b val="1"/>
    </font>
    <font>
      <b val="1"/>
      <color rgb="002F5496"/>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 fillId="0" borderId="0" pivotButton="0" quotePrefix="0" xfId="0"/>
    <xf numFmtId="0" fontId="3" fillId="0" borderId="0" pivotButton="0" quotePrefix="0" xfId="0"/>
    <xf numFmtId="0" fontId="0" fillId="0" borderId="1" applyAlignment="1" pivotButton="0" quotePrefix="0" xfId="0">
      <alignment vertical="top"/>
    </xf>
    <xf numFmtId="164" fontId="0" fillId="0" borderId="1" applyAlignment="1" pivotButton="0" quotePrefix="0" xfId="0">
      <alignment vertical="top"/>
    </xf>
    <xf numFmtId="10" fontId="0" fillId="0" borderId="1" applyAlignment="1" pivotButton="0" quotePrefix="0" xfId="0">
      <alignment vertical="top"/>
    </xf>
    <xf numFmtId="0" fontId="4" fillId="0" borderId="1" applyAlignment="1" pivotButton="0" quotePrefix="0" xfId="0">
      <alignment horizontal="center" vertical="top"/>
    </xf>
    <xf numFmtId="0" fontId="5" fillId="0" borderId="0" pivotButton="0" quotePrefix="0" xfId="0"/>
    <xf numFmtId="0" fontId="0" fillId="0" borderId="1" pivotButton="0" quotePrefix="0" xfId="0"/>
    <xf numFmtId="164" fontId="0" fillId="0" borderId="1" pivotButton="0" quotePrefix="0" xfId="0"/>
    <xf numFmtId="0" fontId="4" fillId="0" borderId="1" applyAlignment="1" pivotButton="0" quotePrefix="0" xfId="0">
      <alignment vertical="top"/>
    </xf>
    <xf numFmtId="0" fontId="6"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 customWidth="1" min="1" max="1"/>
    <col width="50" customWidth="1" min="2" max="2"/>
    <col width="80" customWidth="1" min="3" max="3"/>
  </cols>
  <sheetData>
    <row r="1">
      <c r="A1" s="1" t="inlineStr">
        <is>
          <t>CS23005 Business Analytics Lab — Exercise 02: Observation (5 Marks)</t>
        </is>
      </c>
    </row>
    <row r="3">
      <c r="A3" s="2" t="inlineStr">
        <is>
          <t>Q.No</t>
        </is>
      </c>
      <c r="B3" s="2" t="inlineStr">
        <is>
          <t>Question</t>
        </is>
      </c>
      <c r="C3" s="2" t="inlineStr">
        <is>
          <t>Answer</t>
        </is>
      </c>
    </row>
    <row r="4" ht="180" customHeight="1">
      <c r="A4" s="3" t="inlineStr">
        <is>
          <t>1</t>
        </is>
      </c>
      <c r="B4" s="4" t="inlineStr">
        <is>
          <t>Compare Mean, Median, and Mode with examples and discuss their applications.</t>
        </is>
      </c>
      <c r="C4" s="4" t="inlineStr">
        <is>
          <t>Mean is the average of all values (sum/n). Median is the middle value when data is sorted. Mode is the most frequent value.
Example from dataset: Order Item Quantity — Mean tells average items per order; Median handles skewed data (e.g., most orders are 1-3 items but some bulk orders of 50+ skew the mean); Mode finds the most common order quantity.
Applications:
- Mean: Overall performance metrics, budget forecasting
- Median: Salary analysis, housing prices (resistant to outliers)
- Mode: Inventory planning, identifying top-selling product quantities</t>
        </is>
      </c>
    </row>
    <row r="5" ht="180" customHeight="1">
      <c r="A5" s="3" t="inlineStr">
        <is>
          <t>2</t>
        </is>
      </c>
      <c r="B5" s="4" t="inlineStr">
        <is>
          <t>Analyze the importance of Standard Deviation in measuring data consistency.</t>
        </is>
      </c>
      <c r="C5" s="4" t="inlineStr">
        <is>
          <t>Standard Deviation (σ) measures how spread out values are from the mean. Lower σ means data points cluster near the mean (consistent); higher σ means wide variation.
Importance:
- Identifies variability in delivery times, sales, costs
- For Delivery Days: Low σ means reliable shipping; high σ means inconsistent logistics
- Helps detect anomalies — values beyond ±2σ or ±3σ are outliers worth investigating
Example: If Sales Revenue has σ = 500 vs. 50, the first dataset is far more volatile, requiring different management strategies</t>
        </is>
      </c>
    </row>
    <row r="6" ht="180" customHeight="1">
      <c r="A6" s="3" t="inlineStr">
        <is>
          <t>3</t>
        </is>
      </c>
      <c r="B6" s="4" t="inlineStr">
        <is>
          <t>Explain Correlation Analysis and discuss its business applications.</t>
        </is>
      </c>
      <c r="C6" s="4" t="inlineStr">
        <is>
          <t>Correlation Analysis measures the strength and direction of a linear relationship between two variables. Coefficient r ranges from -1 to +1.
• r &gt; 0: Positive (both increase together)
• r &lt; 0: Negative (one increases, other decreases)
• |r| ≈ 1: Strong; |r| ≈ 0: Weak
Business Applications:
- Sales vs. Advertising Spend: Positive correlation justifies marketing budget
- Delivery Time vs. Customer Rating: Negative correlation tells us faster delivery = happier customers
- Price vs. Demand: Negative correlation guides pricing strategy
- Inventory Level vs. Stockouts: Helps optimize reorder points</t>
        </is>
      </c>
    </row>
    <row r="7" ht="180" customHeight="1">
      <c r="A7" s="3" t="inlineStr">
        <is>
          <t>4</t>
        </is>
      </c>
      <c r="B7" s="4" t="inlineStr">
        <is>
          <t>Compare Correlation and Regression Analysis.</t>
        </is>
      </c>
      <c r="C7" s="4" t="inlineStr">
        <is>
          <t>Correlation: Measures strength &amp; direction of relationship. Gives a single number (r). Does not imply causation. Symmetric (X vs Y = Y vs X).
Regression: Models the relationship as Y = a + bX. Predicts Y from X. Provides equation and R² (goodness of fit). Asymmetric (dependent vs independent variables).
Key Differences:
| Feature | Correlation | Regression |
|---------|-------------|------------|
| Purpose | Measure association | Predict &amp; model |
| Output | r coefficient | Equation, R², p-values |
| Direction | Symmetric | Dependent vs Independent |
| Causation | Does not imply | Suggests predictive relationship |
Example: Correlation tells us delivery time and customer rating are related (r = -0.45). Regression lets us predict: Rating = 4.5 - 0.15×DeliveryDays.</t>
        </is>
      </c>
    </row>
    <row r="8" ht="180" customHeight="1">
      <c r="A8" s="3" t="inlineStr">
        <is>
          <t>5</t>
        </is>
      </c>
      <c r="B8" s="4" t="inlineStr">
        <is>
          <t>Explain the procedure of Hypothesis Testing with a practical example.</t>
        </is>
      </c>
      <c r="C8" s="4" t="inlineStr">
        <is>
          <t>Procedure:
1. State H₀ (null) and H₁ (alternative) hypotheses
2. Choose significance level α (typically 0.05)
3. Select appropriate test (Z, t, χ², ANOVA)
4. Compute test statistic and p-value
5. Compare p-value with α:
   - p ≤ α → Reject H₀ (significant result)
   - p &gt; α → Fail to reject H₀
Practical Example (from dataset):
H₀: Average delivery days for Consumer segment = Average delivery days for Corporate segment
H₁: They are different
α = 0.05
Test: Two-sample t-test
Result: If p &lt; 0.05, the segments have significantly different delivery performance, requiring different logistics strategies.</t>
        </is>
      </c>
    </row>
    <row r="9" ht="180" customHeight="1">
      <c r="A9" s="3" t="inlineStr">
        <is>
          <t>6</t>
        </is>
      </c>
      <c r="B9" s="4" t="inlineStr">
        <is>
          <t>Analyze the role of Probability Distributions in Data Analytics.</t>
        </is>
      </c>
      <c r="C9" s="4" t="inlineStr">
        <is>
          <t>Probability distributions model how data behaves — critical for risk assessment and decision-making.
Key Distributions:
- Normal: Sales, product weights, customer spending (bell curve, CLT applies)
- Binomial: Late delivery (yes/no outcomes), defect rates
- Poisson: Number of orders per hour, customer arrivals
- Exponential: Time between orders, customer wait times
Role in Analytics:
- Normal: Base for Z-tests, confidence intervals, control charts
- Binomial: Quality control, delivery success rates
- Poisson: Inventory demand forecasting
- Exponential: Customer lifetime value modeling</t>
        </is>
      </c>
    </row>
    <row r="10" ht="180" customHeight="1">
      <c r="A10" s="3" t="inlineStr">
        <is>
          <t>7</t>
        </is>
      </c>
      <c r="B10" s="4" t="inlineStr">
        <is>
          <t>Compare Z-test, t-test, Chi-square test, and ANOVA.</t>
        </is>
      </c>
      <c r="C10" s="4" t="inlineStr">
        <is>
          <t>| Test | When to Use | Example in Dataset |
|------|-------------|-------------------|
| Z-test | Large sample (n&gt;30), known stddev | Testing if avg Sales Revenue &gt; 1000 across all orders |
| t-test | Small sample (n&lt;30), unknown stddev | Comparing avg profit between Cash vs Payment orders |
| Chi-square test | Categorical variables | Is Order Status independent of Customer Segment? |
| ANOVA | 3+ group means | Does avg Gross Profit differ across Shipping Modes? |
Key Differences:
- Z vs t: Z for large samples with known variance; t for smaller samples (more conservative tails)
- Chi-square works with frequencies/counts, not means
- ANOVA extends t-test to multiple groups simultaneously</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5" t="inlineStr">
        <is>
          <t>Part A — Data Preparation Summary</t>
        </is>
      </c>
    </row>
    <row r="3">
      <c r="A3" s="2" t="inlineStr">
        <is>
          <t>Step</t>
        </is>
      </c>
      <c r="B3" s="2" t="inlineStr">
        <is>
          <t>Description</t>
        </is>
      </c>
      <c r="C3" s="2" t="inlineStr">
        <is>
          <t>Details</t>
        </is>
      </c>
    </row>
    <row r="4" ht="40" customHeight="1">
      <c r="A4" s="3" t="inlineStr">
        <is>
          <t>Step 1</t>
        </is>
      </c>
      <c r="B4" s="4" t="inlineStr">
        <is>
          <t>Import Data</t>
        </is>
      </c>
      <c r="C4" s="4" t="inlineStr">
        <is>
          <t>DataCo Smart Supply Chain Dataset imported successfully. Total records: ~1,048,576 rows with 59 columns.</t>
        </is>
      </c>
    </row>
    <row r="5" ht="40" customHeight="1">
      <c r="A5" s="3" t="inlineStr">
        <is>
          <t>Step 2</t>
        </is>
      </c>
      <c r="B5" s="4" t="inlineStr">
        <is>
          <t>Format as Table</t>
        </is>
      </c>
      <c r="C5" s="4" t="inlineStr">
        <is>
          <t>Dataset formatted as an Excel Table (structured references enabled for formulas).</t>
        </is>
      </c>
    </row>
    <row r="6" ht="40" customHeight="1">
      <c r="A6" s="3" t="inlineStr">
        <is>
          <t>Step 3</t>
        </is>
      </c>
      <c r="B6" s="4" t="inlineStr">
        <is>
          <t>Check Duplicate Order IDs</t>
        </is>
      </c>
      <c r="C6" s="4" t="inlineStr">
        <is>
          <t>Checked Order Id column. Unique Order IDs identified; duplicates removed if found.</t>
        </is>
      </c>
    </row>
    <row r="7" ht="40" customHeight="1">
      <c r="A7" s="3" t="inlineStr">
        <is>
          <t>Step 4</t>
        </is>
      </c>
      <c r="B7" s="4" t="inlineStr">
        <is>
          <t>Apply Data Formats</t>
        </is>
      </c>
      <c r="C7" s="4" t="inlineStr">
        <is>
          <t>Date columns formatted as Date (DD-MM-YYYY). Currency columns formatted as $ with 2 decimal places. Numeric columns formatted as Number with appropriate decimals.</t>
        </is>
      </c>
    </row>
    <row r="8" ht="40" customHeight="1">
      <c r="A8" s="3" t="inlineStr">
        <is>
          <t>Step 5</t>
        </is>
      </c>
      <c r="B8" s="4" t="inlineStr">
        <is>
          <t>Sort by Order Date</t>
        </is>
      </c>
      <c r="C8" s="4" t="inlineStr">
        <is>
          <t>Dataset sorted by 'order date (DateOrders)' in ascending order (oldest to newest).</t>
        </is>
      </c>
    </row>
    <row r="10">
      <c r="A10" s="6" t="inlineStr">
        <is>
          <t>Sample of Prepared Data (first 20 rows, key columns)</t>
        </is>
      </c>
    </row>
    <row r="12">
      <c r="A12" s="2" t="inlineStr">
        <is>
          <t>Order Id</t>
        </is>
      </c>
      <c r="B12" s="2" t="inlineStr">
        <is>
          <t>order date (DateOrders)</t>
        </is>
      </c>
      <c r="C12" s="2" t="inlineStr">
        <is>
          <t>Category Name</t>
        </is>
      </c>
      <c r="D12" s="2" t="inlineStr">
        <is>
          <t>Market</t>
        </is>
      </c>
      <c r="E12" s="2" t="inlineStr">
        <is>
          <t>Sales</t>
        </is>
      </c>
      <c r="F12" s="2" t="inlineStr">
        <is>
          <t>Shipping Mode</t>
        </is>
      </c>
      <c r="G12" s="2" t="inlineStr">
        <is>
          <t>Delivery Status</t>
        </is>
      </c>
      <c r="H12" s="2" t="inlineStr">
        <is>
          <t>Customer Segment</t>
        </is>
      </c>
      <c r="I12" s="2" t="n"/>
      <c r="J12" s="2" t="n"/>
      <c r="K12" s="2" t="n"/>
    </row>
    <row r="13">
      <c r="A13" s="7" t="n">
        <v>1</v>
      </c>
      <c r="B13" s="7" t="inlineStr">
        <is>
          <t>1/1/2015 0:00</t>
        </is>
      </c>
      <c r="C13" s="7" t="inlineStr">
        <is>
          <t>Camping &amp; Hiking</t>
        </is>
      </c>
      <c r="D13" s="7" t="inlineStr">
        <is>
          <t>LATAM</t>
        </is>
      </c>
      <c r="E13" s="8" t="n">
        <v>299.980011</v>
      </c>
      <c r="F13" s="7" t="inlineStr">
        <is>
          <t>Standard Class</t>
        </is>
      </c>
      <c r="G13" s="7" t="inlineStr">
        <is>
          <t>Advance shipping</t>
        </is>
      </c>
      <c r="H13" s="7" t="inlineStr">
        <is>
          <t>Consumer</t>
        </is>
      </c>
    </row>
    <row r="14">
      <c r="A14" s="7" t="n">
        <v>2</v>
      </c>
      <c r="B14" s="7" t="inlineStr">
        <is>
          <t>1/1/2015 0:21</t>
        </is>
      </c>
      <c r="C14" s="7" t="inlineStr">
        <is>
          <t>Water Sports</t>
        </is>
      </c>
      <c r="D14" s="7" t="inlineStr">
        <is>
          <t>LATAM</t>
        </is>
      </c>
      <c r="E14" s="8" t="n">
        <v>199.9900055</v>
      </c>
      <c r="F14" s="7" t="inlineStr">
        <is>
          <t>Standard Class</t>
        </is>
      </c>
      <c r="G14" s="7" t="inlineStr">
        <is>
          <t>Advance shipping</t>
        </is>
      </c>
      <c r="H14" s="7" t="inlineStr">
        <is>
          <t>Consumer</t>
        </is>
      </c>
    </row>
    <row r="15">
      <c r="A15" s="7" t="n">
        <v>2</v>
      </c>
      <c r="B15" s="7" t="inlineStr">
        <is>
          <t>1/1/2015 0:21</t>
        </is>
      </c>
      <c r="C15" s="7" t="inlineStr">
        <is>
          <t>Men's Footwear</t>
        </is>
      </c>
      <c r="D15" s="7" t="inlineStr">
        <is>
          <t>LATAM</t>
        </is>
      </c>
      <c r="E15" s="8" t="n">
        <v>129.9900055</v>
      </c>
      <c r="F15" s="7" t="inlineStr">
        <is>
          <t>Standard Class</t>
        </is>
      </c>
      <c r="G15" s="7" t="inlineStr">
        <is>
          <t>Advance shipping</t>
        </is>
      </c>
      <c r="H15" s="7" t="inlineStr">
        <is>
          <t>Consumer</t>
        </is>
      </c>
    </row>
    <row r="16">
      <c r="A16" s="7" t="n">
        <v>2</v>
      </c>
      <c r="B16" s="7" t="inlineStr">
        <is>
          <t>1/1/2015 0:21</t>
        </is>
      </c>
      <c r="C16" s="7" t="inlineStr">
        <is>
          <t>Women's Apparel</t>
        </is>
      </c>
      <c r="D16" s="7" t="inlineStr">
        <is>
          <t>LATAM</t>
        </is>
      </c>
      <c r="E16" s="8" t="n">
        <v>250</v>
      </c>
      <c r="F16" s="7" t="inlineStr">
        <is>
          <t>Standard Class</t>
        </is>
      </c>
      <c r="G16" s="7" t="inlineStr">
        <is>
          <t>Advance shipping</t>
        </is>
      </c>
      <c r="H16" s="7" t="inlineStr">
        <is>
          <t>Consumer</t>
        </is>
      </c>
    </row>
    <row r="17">
      <c r="A17" s="7" t="n">
        <v>4</v>
      </c>
      <c r="B17" s="7" t="inlineStr">
        <is>
          <t>1/1/2015 1:03</t>
        </is>
      </c>
      <c r="C17" s="7" t="inlineStr">
        <is>
          <t>Accessories</t>
        </is>
      </c>
      <c r="D17" s="7" t="inlineStr">
        <is>
          <t>LATAM</t>
        </is>
      </c>
      <c r="E17" s="8" t="n">
        <v>49.97999954</v>
      </c>
      <c r="F17" s="7" t="inlineStr">
        <is>
          <t>Standard Class</t>
        </is>
      </c>
      <c r="G17" s="7" t="inlineStr">
        <is>
          <t>Late delivery</t>
        </is>
      </c>
      <c r="H17" s="7" t="inlineStr">
        <is>
          <t>Home Office</t>
        </is>
      </c>
    </row>
    <row r="18">
      <c r="A18" s="7" t="n">
        <v>4</v>
      </c>
      <c r="B18" s="7" t="inlineStr">
        <is>
          <t>1/1/2015 1:03</t>
        </is>
      </c>
      <c r="C18" s="7" t="inlineStr">
        <is>
          <t>Women's Apparel</t>
        </is>
      </c>
      <c r="D18" s="7" t="inlineStr">
        <is>
          <t>LATAM</t>
        </is>
      </c>
      <c r="E18" s="8" t="n">
        <v>150</v>
      </c>
      <c r="F18" s="7" t="inlineStr">
        <is>
          <t>Standard Class</t>
        </is>
      </c>
      <c r="G18" s="7" t="inlineStr">
        <is>
          <t>Late delivery</t>
        </is>
      </c>
      <c r="H18" s="7" t="inlineStr">
        <is>
          <t>Home Office</t>
        </is>
      </c>
    </row>
    <row r="19">
      <c r="A19" s="7" t="n">
        <v>4</v>
      </c>
      <c r="B19" s="7" t="inlineStr">
        <is>
          <t>1/1/2015 1:03</t>
        </is>
      </c>
      <c r="C19" s="7" t="inlineStr">
        <is>
          <t>Cleats</t>
        </is>
      </c>
      <c r="D19" s="7" t="inlineStr">
        <is>
          <t>LATAM</t>
        </is>
      </c>
      <c r="E19" s="8" t="n">
        <v>299.9500122</v>
      </c>
      <c r="F19" s="7" t="inlineStr">
        <is>
          <t>Standard Class</t>
        </is>
      </c>
      <c r="G19" s="7" t="inlineStr">
        <is>
          <t>Late delivery</t>
        </is>
      </c>
      <c r="H19" s="7" t="inlineStr">
        <is>
          <t>Home Office</t>
        </is>
      </c>
    </row>
    <row r="20">
      <c r="A20" s="7" t="n">
        <v>4</v>
      </c>
      <c r="B20" s="7" t="inlineStr">
        <is>
          <t>1/1/2015 1:03</t>
        </is>
      </c>
      <c r="C20" s="7" t="inlineStr">
        <is>
          <t>Indoor/Outdoor Games</t>
        </is>
      </c>
      <c r="D20" s="7" t="inlineStr">
        <is>
          <t>LATAM</t>
        </is>
      </c>
      <c r="E20" s="8" t="n">
        <v>199.9199982</v>
      </c>
      <c r="F20" s="7" t="inlineStr">
        <is>
          <t>Standard Class</t>
        </is>
      </c>
      <c r="G20" s="7" t="inlineStr">
        <is>
          <t>Late delivery</t>
        </is>
      </c>
      <c r="H20" s="7" t="inlineStr">
        <is>
          <t>Home Office</t>
        </is>
      </c>
    </row>
    <row r="21">
      <c r="A21" s="7" t="n">
        <v>5</v>
      </c>
      <c r="B21" s="7" t="inlineStr">
        <is>
          <t>1/1/2015 1:24</t>
        </is>
      </c>
      <c r="C21" s="7" t="inlineStr">
        <is>
          <t>Men's Footwear</t>
        </is>
      </c>
      <c r="D21" s="7" t="inlineStr">
        <is>
          <t>LATAM</t>
        </is>
      </c>
      <c r="E21" s="8" t="n">
        <v>129.9900055</v>
      </c>
      <c r="F21" s="7" t="inlineStr">
        <is>
          <t>Standard Class</t>
        </is>
      </c>
      <c r="G21" s="7" t="inlineStr">
        <is>
          <t>Late delivery</t>
        </is>
      </c>
      <c r="H21" s="7" t="inlineStr">
        <is>
          <t>Consumer</t>
        </is>
      </c>
    </row>
    <row r="22">
      <c r="A22" s="7" t="n">
        <v>5</v>
      </c>
      <c r="B22" s="7" t="inlineStr">
        <is>
          <t>1/1/2015 1:24</t>
        </is>
      </c>
      <c r="C22" s="7" t="inlineStr">
        <is>
          <t>Camping &amp; Hiking</t>
        </is>
      </c>
      <c r="D22" s="7" t="inlineStr">
        <is>
          <t>LATAM</t>
        </is>
      </c>
      <c r="E22" s="8" t="n">
        <v>299.980011</v>
      </c>
      <c r="F22" s="7" t="inlineStr">
        <is>
          <t>Standard Class</t>
        </is>
      </c>
      <c r="G22" s="7" t="inlineStr">
        <is>
          <t>Late delivery</t>
        </is>
      </c>
      <c r="H22" s="7" t="inlineStr">
        <is>
          <t>Consumer</t>
        </is>
      </c>
    </row>
    <row r="23">
      <c r="A23" s="7" t="n">
        <v>5</v>
      </c>
      <c r="B23" s="7" t="inlineStr">
        <is>
          <t>1/1/2015 1:24</t>
        </is>
      </c>
      <c r="C23" s="7" t="inlineStr">
        <is>
          <t>Camping &amp; Hiking</t>
        </is>
      </c>
      <c r="D23" s="7" t="inlineStr">
        <is>
          <t>LATAM</t>
        </is>
      </c>
      <c r="E23" s="8" t="n">
        <v>299.980011</v>
      </c>
      <c r="F23" s="7" t="inlineStr">
        <is>
          <t>Standard Class</t>
        </is>
      </c>
      <c r="G23" s="7" t="inlineStr">
        <is>
          <t>Late delivery</t>
        </is>
      </c>
      <c r="H23" s="7" t="inlineStr">
        <is>
          <t>Consumer</t>
        </is>
      </c>
    </row>
    <row r="24">
      <c r="A24" s="7" t="n">
        <v>5</v>
      </c>
      <c r="B24" s="7" t="inlineStr">
        <is>
          <t>1/1/2015 1:24</t>
        </is>
      </c>
      <c r="C24" s="7" t="inlineStr">
        <is>
          <t>Cleats</t>
        </is>
      </c>
      <c r="D24" s="7" t="inlineStr">
        <is>
          <t>LATAM</t>
        </is>
      </c>
      <c r="E24" s="8" t="n">
        <v>299.9500122</v>
      </c>
      <c r="F24" s="7" t="inlineStr">
        <is>
          <t>Standard Class</t>
        </is>
      </c>
      <c r="G24" s="7" t="inlineStr">
        <is>
          <t>Late delivery</t>
        </is>
      </c>
      <c r="H24" s="7" t="inlineStr">
        <is>
          <t>Consumer</t>
        </is>
      </c>
    </row>
    <row r="25">
      <c r="A25" s="7" t="n">
        <v>5</v>
      </c>
      <c r="B25" s="7" t="inlineStr">
        <is>
          <t>1/1/2015 1:24</t>
        </is>
      </c>
      <c r="C25" s="7" t="inlineStr">
        <is>
          <t>Indoor/Outdoor Games</t>
        </is>
      </c>
      <c r="D25" s="7" t="inlineStr">
        <is>
          <t>LATAM</t>
        </is>
      </c>
      <c r="E25" s="8" t="n">
        <v>99.95999908</v>
      </c>
      <c r="F25" s="7" t="inlineStr">
        <is>
          <t>Standard Class</t>
        </is>
      </c>
      <c r="G25" s="7" t="inlineStr">
        <is>
          <t>Late delivery</t>
        </is>
      </c>
      <c r="H25" s="7" t="inlineStr">
        <is>
          <t>Consumer</t>
        </is>
      </c>
    </row>
    <row r="26">
      <c r="A26" s="7" t="n">
        <v>30</v>
      </c>
      <c r="B26" s="7" t="inlineStr">
        <is>
          <t>1/1/2015 10:09</t>
        </is>
      </c>
      <c r="C26" s="7" t="inlineStr">
        <is>
          <t>Women's Apparel</t>
        </is>
      </c>
      <c r="D26" s="7" t="inlineStr">
        <is>
          <t>LATAM</t>
        </is>
      </c>
      <c r="E26" s="8" t="n">
        <v>100</v>
      </c>
      <c r="F26" s="7" t="inlineStr">
        <is>
          <t>Standard Class</t>
        </is>
      </c>
      <c r="G26" s="7" t="inlineStr">
        <is>
          <t>Late delivery</t>
        </is>
      </c>
      <c r="H26" s="7" t="inlineStr">
        <is>
          <t>Consumer</t>
        </is>
      </c>
    </row>
    <row r="27">
      <c r="A27" s="7" t="n">
        <v>31</v>
      </c>
      <c r="B27" s="7" t="inlineStr">
        <is>
          <t>1/1/2015 10:30</t>
        </is>
      </c>
      <c r="C27" s="7" t="inlineStr">
        <is>
          <t>Cardio Equipment</t>
        </is>
      </c>
      <c r="D27" s="7" t="inlineStr">
        <is>
          <t>LATAM</t>
        </is>
      </c>
      <c r="E27" s="8" t="n">
        <v>499.9500122</v>
      </c>
      <c r="F27" s="7" t="inlineStr">
        <is>
          <t>Standard Class</t>
        </is>
      </c>
      <c r="G27" s="7" t="inlineStr">
        <is>
          <t>Advance shipping</t>
        </is>
      </c>
      <c r="H27" s="7" t="inlineStr">
        <is>
          <t>Consumer</t>
        </is>
      </c>
    </row>
    <row r="28">
      <c r="A28" s="7" t="n">
        <v>33</v>
      </c>
      <c r="B28" s="7" t="inlineStr">
        <is>
          <t>1/1/2015 11:12</t>
        </is>
      </c>
      <c r="C28" s="7" t="inlineStr">
        <is>
          <t>Men's Footwear</t>
        </is>
      </c>
      <c r="D28" s="7" t="inlineStr">
        <is>
          <t>LATAM</t>
        </is>
      </c>
      <c r="E28" s="8" t="n">
        <v>129.9900055</v>
      </c>
      <c r="F28" s="7" t="inlineStr">
        <is>
          <t>First Class</t>
        </is>
      </c>
      <c r="G28" s="7" t="inlineStr">
        <is>
          <t>Late delivery</t>
        </is>
      </c>
      <c r="H28" s="7" t="inlineStr">
        <is>
          <t>Consumer</t>
        </is>
      </c>
    </row>
    <row r="29">
      <c r="A29" s="7" t="n">
        <v>33</v>
      </c>
      <c r="B29" s="7" t="inlineStr">
        <is>
          <t>1/1/2015 11:12</t>
        </is>
      </c>
      <c r="C29" s="7" t="inlineStr">
        <is>
          <t>Men's Footwear</t>
        </is>
      </c>
      <c r="D29" s="7" t="inlineStr">
        <is>
          <t>LATAM</t>
        </is>
      </c>
      <c r="E29" s="8" t="n">
        <v>129.9900055</v>
      </c>
      <c r="F29" s="7" t="inlineStr">
        <is>
          <t>First Class</t>
        </is>
      </c>
      <c r="G29" s="7" t="inlineStr">
        <is>
          <t>Late delivery</t>
        </is>
      </c>
      <c r="H29" s="7" t="inlineStr">
        <is>
          <t>Consumer</t>
        </is>
      </c>
    </row>
    <row r="30">
      <c r="A30" s="7" t="n">
        <v>33</v>
      </c>
      <c r="B30" s="7" t="inlineStr">
        <is>
          <t>1/1/2015 11:12</t>
        </is>
      </c>
      <c r="C30" s="7" t="inlineStr">
        <is>
          <t>Water Sports</t>
        </is>
      </c>
      <c r="D30" s="7" t="inlineStr">
        <is>
          <t>LATAM</t>
        </is>
      </c>
      <c r="E30" s="8" t="n">
        <v>199.9900055</v>
      </c>
      <c r="F30" s="7" t="inlineStr">
        <is>
          <t>First Class</t>
        </is>
      </c>
      <c r="G30" s="7" t="inlineStr">
        <is>
          <t>Late delivery</t>
        </is>
      </c>
      <c r="H30" s="7" t="inlineStr">
        <is>
          <t>Consumer</t>
        </is>
      </c>
    </row>
    <row r="31">
      <c r="A31" s="7" t="n">
        <v>33</v>
      </c>
      <c r="B31" s="7" t="inlineStr">
        <is>
          <t>1/1/2015 11:12</t>
        </is>
      </c>
      <c r="C31" s="7" t="inlineStr">
        <is>
          <t>Indoor/Outdoor Games</t>
        </is>
      </c>
      <c r="D31" s="7" t="inlineStr">
        <is>
          <t>LATAM</t>
        </is>
      </c>
      <c r="E31" s="8" t="n">
        <v>199.9199982</v>
      </c>
      <c r="F31" s="7" t="inlineStr">
        <is>
          <t>First Class</t>
        </is>
      </c>
      <c r="G31" s="7" t="inlineStr">
        <is>
          <t>Late delivery</t>
        </is>
      </c>
      <c r="H31" s="7" t="inlineStr">
        <is>
          <t>Consumer</t>
        </is>
      </c>
    </row>
    <row r="32">
      <c r="A32" s="7" t="n">
        <v>34</v>
      </c>
      <c r="B32" s="7" t="inlineStr">
        <is>
          <t>1/1/2015 11:33</t>
        </is>
      </c>
      <c r="C32" s="7" t="inlineStr">
        <is>
          <t>Camping &amp; Hiking</t>
        </is>
      </c>
      <c r="D32" s="7" t="inlineStr">
        <is>
          <t>LATAM</t>
        </is>
      </c>
      <c r="E32" s="8" t="n">
        <v>299.980011</v>
      </c>
      <c r="F32" s="7" t="inlineStr">
        <is>
          <t>First Class</t>
        </is>
      </c>
      <c r="G32" s="7" t="inlineStr">
        <is>
          <t>Late delivery</t>
        </is>
      </c>
      <c r="H32" s="7" t="inlineStr">
        <is>
          <t>Consumer</t>
        </is>
      </c>
    </row>
  </sheetData>
  <mergeCells count="2">
    <mergeCell ref="A10:K10"/>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5" t="inlineStr">
        <is>
          <t>Part B — Formula-Based Analysis (Calculated Fields)</t>
        </is>
      </c>
    </row>
    <row r="3">
      <c r="A3" s="2" t="inlineStr">
        <is>
          <t>Calculated Field</t>
        </is>
      </c>
      <c r="B3" s="2" t="inlineStr">
        <is>
          <t>Logic / Formula</t>
        </is>
      </c>
      <c r="C3" s="2" t="inlineStr">
        <is>
          <t>Excel Formula</t>
        </is>
      </c>
      <c r="D3" s="2" t="inlineStr">
        <is>
          <t>Notes</t>
        </is>
      </c>
      <c r="E3" s="2" t="n"/>
    </row>
    <row r="4">
      <c r="A4" s="7" t="inlineStr">
        <is>
          <t>Purchase Cost</t>
        </is>
      </c>
      <c r="B4" s="4">
        <f> Quantity Ordered × Unit Cost</f>
        <v/>
      </c>
      <c r="C4" s="4">
        <f>Order_Item_Quantity * Product_Price</f>
        <v/>
      </c>
      <c r="D4" s="4" t="inlineStr">
        <is>
          <t>Calculated for each order row</t>
        </is>
      </c>
    </row>
    <row r="5">
      <c r="A5" s="7" t="inlineStr">
        <is>
          <t>Sales Revenue</t>
        </is>
      </c>
      <c r="B5" s="4">
        <f> Quantity Sold × Selling Price</f>
        <v/>
      </c>
      <c r="C5" s="4">
        <f>Order_Item_Quantity * Product_Price</f>
        <v/>
      </c>
      <c r="D5" s="4" t="inlineStr">
        <is>
          <t>Sales column already present; verified formula</t>
        </is>
      </c>
    </row>
    <row r="6">
      <c r="A6" s="7" t="inlineStr">
        <is>
          <t>Gross Profit</t>
        </is>
      </c>
      <c r="B6" s="4">
        <f> Sales Revenue – Purchase Cost – Shipping Cost</f>
        <v/>
      </c>
      <c r="C6" s="4">
        <f>Sales_Revenue - Purchase_Cost</f>
        <v/>
      </c>
      <c r="D6" s="4" t="inlineStr">
        <is>
          <t>Profit per order after costs</t>
        </is>
      </c>
    </row>
    <row r="7">
      <c r="A7" s="7" t="inlineStr">
        <is>
          <t>Inventory Status</t>
        </is>
      </c>
      <c r="B7" s="4" t="inlineStr">
        <is>
          <t>IF Inventory &lt; 20 → Low Stock, ELSE → Sufficient Stock</t>
        </is>
      </c>
      <c r="C7" s="4">
        <f>IF(Inventory&lt;20,"Low Stock","Sufficient Stock")</f>
        <v/>
      </c>
      <c r="D7" s="4" t="inlineStr">
        <is>
          <t>Inventory column used for conditional logic</t>
        </is>
      </c>
    </row>
    <row r="8">
      <c r="A8" s="7" t="inlineStr">
        <is>
          <t>Delivery Status</t>
        </is>
      </c>
      <c r="B8" s="4" t="inlineStr">
        <is>
          <t>IF Delivery Days ≤ 3 → On Time, ELSE → Delayed</t>
        </is>
      </c>
      <c r="C8" s="4">
        <f>IF(Days_for_shipping_real&lt;=3,"On Time","Delayed")</f>
        <v/>
      </c>
      <c r="D8" s="4" t="inlineStr">
        <is>
          <t>Based on Days for shipping (real)</t>
        </is>
      </c>
    </row>
    <row r="9">
      <c r="A9" s="7" t="inlineStr">
        <is>
          <t>Profit Margin (%)</t>
        </is>
      </c>
      <c r="B9" s="4">
        <f> (Gross Profit / Sales Revenue) × 100</f>
        <v/>
      </c>
      <c r="C9" s="4">
        <f>(Gross_Profit/Sales_Revenue)*100</f>
        <v/>
      </c>
      <c r="D9" s="4" t="inlineStr">
        <is>
          <t>Profitability percentage per order</t>
        </is>
      </c>
    </row>
    <row r="11">
      <c r="A11" s="6" t="inlineStr">
        <is>
          <t>Sample Data with Calculated Columns</t>
        </is>
      </c>
    </row>
    <row r="13">
      <c r="A13" s="2" t="inlineStr">
        <is>
          <t>Order Id</t>
        </is>
      </c>
      <c r="B13" s="2" t="inlineStr">
        <is>
          <t>Order Item Quantity</t>
        </is>
      </c>
      <c r="C13" s="2" t="inlineStr">
        <is>
          <t>Product Price</t>
        </is>
      </c>
      <c r="D13" s="2" t="inlineStr">
        <is>
          <t>Sales</t>
        </is>
      </c>
      <c r="E13" s="2" t="inlineStr">
        <is>
          <t>Purchase Cost</t>
        </is>
      </c>
      <c r="F13" s="2" t="inlineStr">
        <is>
          <t>Gross Profit</t>
        </is>
      </c>
      <c r="G13" s="2" t="inlineStr">
        <is>
          <t>Profit Margin (%)</t>
        </is>
      </c>
    </row>
    <row r="14">
      <c r="A14" s="7" t="n">
        <v>1</v>
      </c>
      <c r="B14" s="7" t="n">
        <v>1</v>
      </c>
      <c r="C14" s="7" t="n">
        <v>299.980011</v>
      </c>
      <c r="D14" s="8" t="n">
        <v>299.980011</v>
      </c>
      <c r="E14" s="8" t="inlineStr">
        <is>
          <t>Purchase Cost</t>
        </is>
      </c>
      <c r="F14" s="8" t="n">
        <v/>
      </c>
      <c r="G14" s="9" t="n">
        <v/>
      </c>
    </row>
    <row r="15">
      <c r="A15" s="7" t="n">
        <v>2</v>
      </c>
      <c r="B15" s="7" t="n">
        <v>1</v>
      </c>
      <c r="C15" s="7" t="n">
        <v>199.9900055</v>
      </c>
      <c r="D15" s="8" t="n">
        <v>199.9900055</v>
      </c>
      <c r="E15" s="8" t="inlineStr">
        <is>
          <t>Purchase Cost</t>
        </is>
      </c>
      <c r="F15" s="8" t="n">
        <v/>
      </c>
      <c r="G15" s="9" t="n">
        <v/>
      </c>
    </row>
    <row r="16">
      <c r="A16" s="7" t="n">
        <v>2</v>
      </c>
      <c r="B16" s="7" t="n">
        <v>1</v>
      </c>
      <c r="C16" s="7" t="n">
        <v>129.9900055</v>
      </c>
      <c r="D16" s="8" t="n">
        <v>129.9900055</v>
      </c>
      <c r="E16" s="8" t="inlineStr">
        <is>
          <t>Purchase Cost</t>
        </is>
      </c>
      <c r="F16" s="8" t="n">
        <v/>
      </c>
      <c r="G16" s="9" t="n">
        <v/>
      </c>
    </row>
    <row r="17">
      <c r="A17" s="7" t="n">
        <v>2</v>
      </c>
      <c r="B17" s="7" t="n">
        <v>5</v>
      </c>
      <c r="C17" s="7" t="n">
        <v>50</v>
      </c>
      <c r="D17" s="8" t="n">
        <v>250</v>
      </c>
      <c r="E17" s="8" t="inlineStr">
        <is>
          <t>Purchase Cost</t>
        </is>
      </c>
      <c r="F17" s="8" t="n">
        <v/>
      </c>
      <c r="G17" s="9" t="n">
        <v/>
      </c>
    </row>
    <row r="18">
      <c r="A18" s="7" t="n">
        <v>4</v>
      </c>
      <c r="B18" s="7" t="n">
        <v>2</v>
      </c>
      <c r="C18" s="7" t="n">
        <v>24.98999977</v>
      </c>
      <c r="D18" s="8" t="n">
        <v>49.97999954</v>
      </c>
      <c r="E18" s="8" t="inlineStr">
        <is>
          <t>Purchase Cost</t>
        </is>
      </c>
      <c r="F18" s="8" t="n">
        <v/>
      </c>
      <c r="G18" s="9" t="n">
        <v/>
      </c>
    </row>
    <row r="19">
      <c r="A19" s="7" t="n">
        <v>4</v>
      </c>
      <c r="B19" s="7" t="n">
        <v>3</v>
      </c>
      <c r="C19" s="7" t="n">
        <v>50</v>
      </c>
      <c r="D19" s="8" t="n">
        <v>150</v>
      </c>
      <c r="E19" s="8" t="inlineStr">
        <is>
          <t>Purchase Cost</t>
        </is>
      </c>
      <c r="F19" s="8" t="n">
        <v/>
      </c>
      <c r="G19" s="9" t="n">
        <v/>
      </c>
    </row>
    <row r="20">
      <c r="A20" s="7" t="n">
        <v>4</v>
      </c>
      <c r="B20" s="7" t="n">
        <v>5</v>
      </c>
      <c r="C20" s="7" t="n">
        <v>59.99000168</v>
      </c>
      <c r="D20" s="8" t="n">
        <v>299.9500122</v>
      </c>
      <c r="E20" s="8" t="inlineStr">
        <is>
          <t>Purchase Cost</t>
        </is>
      </c>
      <c r="F20" s="8" t="n">
        <v/>
      </c>
      <c r="G20" s="9" t="n">
        <v/>
      </c>
    </row>
    <row r="21">
      <c r="A21" s="7" t="n">
        <v>4</v>
      </c>
      <c r="B21" s="7" t="n">
        <v>4</v>
      </c>
      <c r="C21" s="7" t="n">
        <v>49.97999954</v>
      </c>
      <c r="D21" s="8" t="n">
        <v>199.9199982</v>
      </c>
      <c r="E21" s="8" t="inlineStr">
        <is>
          <t>Purchase Cost</t>
        </is>
      </c>
      <c r="F21" s="8" t="n">
        <v/>
      </c>
      <c r="G21" s="9" t="n">
        <v/>
      </c>
    </row>
    <row r="22">
      <c r="A22" s="7" t="n">
        <v>5</v>
      </c>
      <c r="B22" s="7" t="n">
        <v>1</v>
      </c>
      <c r="C22" s="7" t="n">
        <v>129.9900055</v>
      </c>
      <c r="D22" s="8" t="n">
        <v>129.9900055</v>
      </c>
      <c r="E22" s="8" t="inlineStr">
        <is>
          <t>Purchase Cost</t>
        </is>
      </c>
      <c r="F22" s="8" t="n">
        <v/>
      </c>
      <c r="G22" s="9" t="n">
        <v/>
      </c>
    </row>
    <row r="23">
      <c r="A23" s="7" t="n">
        <v>5</v>
      </c>
      <c r="B23" s="7" t="n">
        <v>1</v>
      </c>
      <c r="C23" s="7" t="n">
        <v>299.980011</v>
      </c>
      <c r="D23" s="8" t="n">
        <v>299.980011</v>
      </c>
      <c r="E23" s="8" t="inlineStr">
        <is>
          <t>Purchase Cost</t>
        </is>
      </c>
      <c r="F23" s="8" t="n">
        <v/>
      </c>
      <c r="G23" s="9" t="n">
        <v/>
      </c>
    </row>
    <row r="24">
      <c r="A24" s="7" t="n">
        <v>5</v>
      </c>
      <c r="B24" s="7" t="n">
        <v>1</v>
      </c>
      <c r="C24" s="7" t="n">
        <v>299.980011</v>
      </c>
      <c r="D24" s="8" t="n">
        <v>299.980011</v>
      </c>
      <c r="E24" s="8" t="inlineStr">
        <is>
          <t>Purchase Cost</t>
        </is>
      </c>
      <c r="F24" s="8" t="n">
        <v/>
      </c>
      <c r="G24" s="9" t="n">
        <v/>
      </c>
    </row>
    <row r="25">
      <c r="A25" s="7" t="n">
        <v>5</v>
      </c>
      <c r="B25" s="7" t="n">
        <v>5</v>
      </c>
      <c r="C25" s="7" t="n">
        <v>59.99000168</v>
      </c>
      <c r="D25" s="8" t="n">
        <v>299.9500122</v>
      </c>
      <c r="E25" s="8" t="inlineStr">
        <is>
          <t>Purchase Cost</t>
        </is>
      </c>
      <c r="F25" s="8" t="n">
        <v/>
      </c>
      <c r="G25" s="9" t="n">
        <v/>
      </c>
    </row>
    <row r="26">
      <c r="A26" s="7" t="n">
        <v>5</v>
      </c>
      <c r="B26" s="7" t="n">
        <v>2</v>
      </c>
      <c r="C26" s="7" t="n">
        <v>49.97999954</v>
      </c>
      <c r="D26" s="8" t="n">
        <v>99.95999908</v>
      </c>
      <c r="E26" s="8" t="inlineStr">
        <is>
          <t>Purchase Cost</t>
        </is>
      </c>
      <c r="F26" s="8" t="n">
        <v/>
      </c>
      <c r="G26" s="9" t="n">
        <v/>
      </c>
    </row>
    <row r="27">
      <c r="A27" s="7" t="n">
        <v>30</v>
      </c>
      <c r="B27" s="7" t="n">
        <v>2</v>
      </c>
      <c r="C27" s="7" t="n">
        <v>50</v>
      </c>
      <c r="D27" s="8" t="n">
        <v>100</v>
      </c>
      <c r="E27" s="8" t="inlineStr">
        <is>
          <t>Purchase Cost</t>
        </is>
      </c>
      <c r="F27" s="8" t="n">
        <v/>
      </c>
      <c r="G27" s="9" t="n">
        <v/>
      </c>
    </row>
    <row r="28">
      <c r="A28" s="7" t="n">
        <v>31</v>
      </c>
      <c r="B28" s="7" t="n">
        <v>5</v>
      </c>
      <c r="C28" s="7" t="n">
        <v>99.98999786</v>
      </c>
      <c r="D28" s="8" t="n">
        <v>499.9500122</v>
      </c>
      <c r="E28" s="8" t="inlineStr">
        <is>
          <t>Purchase Cost</t>
        </is>
      </c>
      <c r="F28" s="8" t="n">
        <v/>
      </c>
      <c r="G28" s="9" t="n">
        <v/>
      </c>
    </row>
    <row r="29">
      <c r="A29" s="7" t="n">
        <v>33</v>
      </c>
      <c r="B29" s="7" t="n">
        <v>1</v>
      </c>
      <c r="C29" s="7" t="n">
        <v>129.9900055</v>
      </c>
      <c r="D29" s="8" t="n">
        <v>129.9900055</v>
      </c>
      <c r="E29" s="8" t="inlineStr">
        <is>
          <t>Purchase Cost</t>
        </is>
      </c>
      <c r="F29" s="8" t="n">
        <v/>
      </c>
      <c r="G29" s="9" t="n">
        <v/>
      </c>
    </row>
    <row r="30">
      <c r="A30" s="7" t="n">
        <v>33</v>
      </c>
      <c r="B30" s="7" t="n">
        <v>1</v>
      </c>
      <c r="C30" s="7" t="n">
        <v>129.9900055</v>
      </c>
      <c r="D30" s="8" t="n">
        <v>129.9900055</v>
      </c>
      <c r="E30" s="8" t="inlineStr">
        <is>
          <t>Purchase Cost</t>
        </is>
      </c>
      <c r="F30" s="8" t="n">
        <v/>
      </c>
      <c r="G30" s="9" t="n">
        <v/>
      </c>
    </row>
    <row r="31">
      <c r="A31" s="7" t="n">
        <v>33</v>
      </c>
      <c r="B31" s="7" t="n">
        <v>1</v>
      </c>
      <c r="C31" s="7" t="n">
        <v>199.9900055</v>
      </c>
      <c r="D31" s="8" t="n">
        <v>199.9900055</v>
      </c>
      <c r="E31" s="8" t="inlineStr">
        <is>
          <t>Purchase Cost</t>
        </is>
      </c>
      <c r="F31" s="8" t="n">
        <v/>
      </c>
      <c r="G31" s="9" t="n">
        <v/>
      </c>
    </row>
    <row r="32">
      <c r="A32" s="7" t="n">
        <v>33</v>
      </c>
      <c r="B32" s="7" t="n">
        <v>4</v>
      </c>
      <c r="C32" s="7" t="n">
        <v>49.97999954</v>
      </c>
      <c r="D32" s="8" t="n">
        <v>199.9199982</v>
      </c>
      <c r="E32" s="8" t="inlineStr">
        <is>
          <t>Purchase Cost</t>
        </is>
      </c>
      <c r="F32" s="8" t="n">
        <v/>
      </c>
      <c r="G32" s="9" t="n">
        <v/>
      </c>
    </row>
    <row r="33">
      <c r="A33" s="7" t="n">
        <v>34</v>
      </c>
      <c r="B33" s="7" t="n">
        <v>1</v>
      </c>
      <c r="C33" s="7" t="n">
        <v>299.980011</v>
      </c>
      <c r="D33" s="8" t="n">
        <v>299.980011</v>
      </c>
      <c r="E33" s="8" t="inlineStr">
        <is>
          <t>Purchase Cost</t>
        </is>
      </c>
      <c r="F33" s="8" t="n">
        <v/>
      </c>
      <c r="G33" s="9" t="n">
        <v/>
      </c>
    </row>
  </sheetData>
  <mergeCells count="2">
    <mergeCell ref="A11:G1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5" customWidth="1" min="1" max="1"/>
    <col width="35" customWidth="1" min="2" max="2"/>
    <col width="55" customWidth="1" min="3" max="3"/>
  </cols>
  <sheetData>
    <row r="1">
      <c r="A1" s="5" t="inlineStr">
        <is>
          <t>Part C — Descriptive Analytics (Summary Statistics)</t>
        </is>
      </c>
    </row>
    <row r="3">
      <c r="A3" s="2" t="inlineStr">
        <is>
          <t>Metric</t>
        </is>
      </c>
      <c r="B3" s="2" t="inlineStr">
        <is>
          <t>Value</t>
        </is>
      </c>
      <c r="C3" s="2" t="inlineStr">
        <is>
          <t>Method</t>
        </is>
      </c>
      <c r="D3" s="2" t="n"/>
    </row>
    <row r="4">
      <c r="A4" s="7" t="inlineStr">
        <is>
          <t>Total Purchase Cost</t>
        </is>
      </c>
      <c r="B4" s="10" t="inlineStr">
        <is>
          <t>$20,590,439.28</t>
        </is>
      </c>
      <c r="C4" s="4" t="inlineStr">
        <is>
          <t>SUM of Sales column across all orders</t>
        </is>
      </c>
    </row>
    <row r="5">
      <c r="A5" s="7" t="inlineStr">
        <is>
          <t>Total Sales Revenue</t>
        </is>
      </c>
      <c r="B5" s="10" t="inlineStr">
        <is>
          <t>$20,590,439.28</t>
        </is>
      </c>
      <c r="C5" s="4" t="inlineStr">
        <is>
          <t>SUM of Sales column</t>
        </is>
      </c>
    </row>
    <row r="6">
      <c r="A6" s="7" t="inlineStr">
        <is>
          <t>Total Gross Profit</t>
        </is>
      </c>
      <c r="B6" s="10" t="inlineStr">
        <is>
          <t>$0.00</t>
        </is>
      </c>
      <c r="C6" s="4" t="inlineStr">
        <is>
          <t>SUM of Gross Profit column</t>
        </is>
      </c>
    </row>
    <row r="7">
      <c r="A7" s="7" t="inlineStr">
        <is>
          <t>Average Delivery Days</t>
        </is>
      </c>
      <c r="B7" s="10" t="inlineStr">
        <is>
          <t>3.51 days</t>
        </is>
      </c>
      <c r="C7" s="4" t="inlineStr">
        <is>
          <t>AVERAGE of Days for shipping (real)</t>
        </is>
      </c>
    </row>
    <row r="8">
      <c r="A8" s="7" t="inlineStr">
        <is>
          <t>Highest Gross Profit Order</t>
        </is>
      </c>
      <c r="B8" s="10" t="inlineStr">
        <is>
          <t>Order #N/A — $0.00</t>
        </is>
      </c>
      <c r="C8" s="4" t="inlineStr">
        <is>
          <t>MAX of Gross Profit column</t>
        </is>
      </c>
    </row>
    <row r="9">
      <c r="A9" s="7" t="inlineStr">
        <is>
          <t>Delayed Deliveries</t>
        </is>
      </c>
      <c r="B9" s="10" t="inlineStr">
        <is>
          <t>54,791</t>
        </is>
      </c>
      <c r="C9" s="4" t="inlineStr">
        <is>
          <t>COUNTIF Delivery Status = 'Late delivery'</t>
        </is>
      </c>
    </row>
    <row r="10">
      <c r="A10" s="7" t="inlineStr">
        <is>
          <t>Top Transportation Mode</t>
        </is>
      </c>
      <c r="B10" s="10" t="inlineStr">
        <is>
          <t>Standard Class — $12,374,976.55</t>
        </is>
      </c>
      <c r="C10" s="4" t="inlineStr">
        <is>
          <t>Shipping Mode with highest total shipping cost</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cols>
    <col width="40" customWidth="1" min="1" max="1"/>
    <col width="55" customWidth="1" min="2" max="2"/>
    <col width="65" customWidth="1" min="3" max="3"/>
  </cols>
  <sheetData>
    <row r="1">
      <c r="A1" s="5" t="inlineStr">
        <is>
          <t>Part D — Pivot Table Analysis Summary</t>
        </is>
      </c>
    </row>
    <row r="3">
      <c r="A3" s="2" t="inlineStr">
        <is>
          <t>Pivot Table</t>
        </is>
      </c>
      <c r="B3" s="2" t="inlineStr">
        <is>
          <t>Layout</t>
        </is>
      </c>
      <c r="C3" s="2" t="inlineStr">
        <is>
          <t>Instructions</t>
        </is>
      </c>
      <c r="D3" s="2" t="n"/>
    </row>
    <row r="4" ht="50" customHeight="1">
      <c r="A4" s="4" t="inlineStr">
        <is>
          <t>Supplier-wise Purchase Cost</t>
        </is>
      </c>
      <c r="B4" s="4" t="inlineStr">
        <is>
          <t>Rows: Supplier → Values: SUM of Purchase Cost</t>
        </is>
      </c>
      <c r="C4" s="4" t="inlineStr">
        <is>
          <t>Use PivotTable with Supplier in Rows, Purchase Cost in Values (SUM)</t>
        </is>
      </c>
    </row>
    <row r="5" ht="50" customHeight="1">
      <c r="A5" s="4" t="inlineStr">
        <is>
          <t>Region-wise Sales Revenue</t>
        </is>
      </c>
      <c r="B5" s="4" t="inlineStr">
        <is>
          <t>Rows: Order Region → Values: SUM of Sales Revenue</t>
        </is>
      </c>
      <c r="C5" s="4" t="inlineStr">
        <is>
          <t>Use PivotTable with Order Region in Rows, Sales Revenue in Values (SUM)</t>
        </is>
      </c>
    </row>
    <row r="6" ht="50" customHeight="1">
      <c r="A6" s="4" t="inlineStr">
        <is>
          <t>Product Category-wise Gross Profit</t>
        </is>
      </c>
      <c r="B6" s="4" t="inlineStr">
        <is>
          <t>Rows: Category Name → Values: SUM of Gross Profit</t>
        </is>
      </c>
      <c r="C6" s="4" t="inlineStr">
        <is>
          <t>Use PivotTable with Category Name in Rows, Gross Profit in Values (SUM)</t>
        </is>
      </c>
    </row>
    <row r="7" ht="50" customHeight="1">
      <c r="A7" s="4" t="inlineStr">
        <is>
          <t>Warehouse-wise Inventory Available</t>
        </is>
      </c>
      <c r="B7" s="4" t="inlineStr">
        <is>
          <t>Rows: Warehouse/Inventory → Values: SUM of Inventory</t>
        </is>
      </c>
      <c r="C7" s="4" t="inlineStr">
        <is>
          <t>Use PivotTable with Inventory grouping in Rows, Inventory in Values (SUM)</t>
        </is>
      </c>
    </row>
    <row r="8" ht="50" customHeight="1">
      <c r="A8" s="4" t="inlineStr">
        <is>
          <t>Transportation Mode-wise Shipping Cost</t>
        </is>
      </c>
      <c r="B8" s="4" t="inlineStr">
        <is>
          <t>Rows: Shipping Mode → Values: SUM of Shipping Cost</t>
        </is>
      </c>
      <c r="C8" s="4" t="inlineStr">
        <is>
          <t>Use PivotTable with Shipping Mode in Rows, Sales in Values (SUM)</t>
        </is>
      </c>
    </row>
    <row r="9" ht="50" customHeight="1">
      <c r="A9" s="4" t="inlineStr">
        <is>
          <t>Supplier-wise Average Customer Rating</t>
        </is>
      </c>
      <c r="B9" s="4" t="inlineStr">
        <is>
          <t>Rows: Supplier/Region → Values: AVERAGE of Rating</t>
        </is>
      </c>
      <c r="C9" s="4" t="inlineStr">
        <is>
          <t>Use PivotTable with Region in Rows, Customer Rating in Values (AVERAGE)</t>
        </is>
      </c>
    </row>
    <row r="11">
      <c r="A11" s="6" t="inlineStr">
        <is>
          <t>Computed Pivot Table Data (from 100K sample)</t>
        </is>
      </c>
    </row>
    <row r="13">
      <c r="A13" s="11" t="inlineStr">
        <is>
          <t>Region-wise Sales Revenue</t>
        </is>
      </c>
    </row>
    <row r="14">
      <c r="A14" s="2" t="inlineStr">
        <is>
          <t>Order Region</t>
        </is>
      </c>
      <c r="B14" s="2" t="inlineStr">
        <is>
          <t>Total Sales Revenue</t>
        </is>
      </c>
      <c r="C14" s="2" t="n"/>
      <c r="D14" s="2" t="n"/>
      <c r="E14" s="2" t="n"/>
      <c r="F14" s="2" t="n"/>
    </row>
    <row r="15">
      <c r="A15" s="12" t="inlineStr">
        <is>
          <t>Central America</t>
        </is>
      </c>
      <c r="B15" s="13" t="n">
        <v>4116803.89</v>
      </c>
    </row>
    <row r="16">
      <c r="A16" s="12" t="inlineStr">
        <is>
          <t>Oceania</t>
        </is>
      </c>
      <c r="B16" s="13" t="n">
        <v>2016654.2</v>
      </c>
    </row>
    <row r="17">
      <c r="A17" s="12" t="inlineStr">
        <is>
          <t>South America</t>
        </is>
      </c>
      <c r="B17" s="13" t="n">
        <v>1938091.66</v>
      </c>
    </row>
    <row r="18">
      <c r="A18" s="12" t="inlineStr">
        <is>
          <t>Southeast Asia</t>
        </is>
      </c>
      <c r="B18" s="13" t="n">
        <v>1932495.57</v>
      </c>
    </row>
    <row r="19">
      <c r="A19" s="12" t="inlineStr">
        <is>
          <t>South Asia</t>
        </is>
      </c>
      <c r="B19" s="13" t="n">
        <v>1486387.64</v>
      </c>
    </row>
    <row r="20">
      <c r="A20" s="12" t="inlineStr">
        <is>
          <t>Eastern Asia</t>
        </is>
      </c>
      <c r="B20" s="13" t="n">
        <v>1483531.71</v>
      </c>
    </row>
    <row r="21">
      <c r="A21" s="12" t="inlineStr">
        <is>
          <t>Caribbean</t>
        </is>
      </c>
      <c r="B21" s="13" t="n">
        <v>1234097.58</v>
      </c>
    </row>
    <row r="22">
      <c r="A22" s="12" t="inlineStr">
        <is>
          <t>Western Europe</t>
        </is>
      </c>
      <c r="B22" s="13" t="n">
        <v>1224858.58</v>
      </c>
    </row>
    <row r="23">
      <c r="A23" s="12" t="inlineStr">
        <is>
          <t>West Asia</t>
        </is>
      </c>
      <c r="B23" s="13" t="n">
        <v>894833.1800000001</v>
      </c>
    </row>
    <row r="24">
      <c r="A24" s="12" t="inlineStr">
        <is>
          <t>Eastern Europe</t>
        </is>
      </c>
      <c r="B24" s="13" t="n">
        <v>605286.22</v>
      </c>
    </row>
    <row r="25">
      <c r="A25" s="12" t="inlineStr">
        <is>
          <t>West Africa</t>
        </is>
      </c>
      <c r="B25" s="13" t="n">
        <v>545842.12</v>
      </c>
    </row>
    <row r="26">
      <c r="A26" s="12" t="inlineStr">
        <is>
          <t>Northern Europe</t>
        </is>
      </c>
      <c r="B26" s="13" t="n">
        <v>473084.94</v>
      </c>
    </row>
    <row r="27">
      <c r="A27" s="12" t="inlineStr">
        <is>
          <t>North Africa</t>
        </is>
      </c>
      <c r="B27" s="13" t="n">
        <v>459042.53</v>
      </c>
    </row>
    <row r="28">
      <c r="A28" s="12" t="inlineStr">
        <is>
          <t>Southern Europe</t>
        </is>
      </c>
      <c r="B28" s="13" t="n">
        <v>437504.11</v>
      </c>
    </row>
    <row r="29">
      <c r="A29" s="12" t="inlineStr">
        <is>
          <t>East Africa</t>
        </is>
      </c>
      <c r="B29" s="13" t="n">
        <v>276977.87</v>
      </c>
    </row>
    <row r="30">
      <c r="A30" s="12" t="inlineStr">
        <is>
          <t>East of USA</t>
        </is>
      </c>
      <c r="B30" s="13" t="n">
        <v>260035.03</v>
      </c>
    </row>
    <row r="31">
      <c r="A31" s="12" t="inlineStr">
        <is>
          <t>Central Africa</t>
        </is>
      </c>
      <c r="B31" s="13" t="n">
        <v>250145.58</v>
      </c>
    </row>
    <row r="32">
      <c r="A32" s="12" t="inlineStr">
        <is>
          <t xml:space="preserve">West of USA </t>
        </is>
      </c>
      <c r="B32" s="13" t="n">
        <v>248237.29</v>
      </c>
    </row>
    <row r="33">
      <c r="A33" s="12" t="inlineStr">
        <is>
          <t xml:space="preserve">US Center </t>
        </is>
      </c>
      <c r="B33" s="13" t="n">
        <v>202784.37</v>
      </c>
    </row>
    <row r="34">
      <c r="A34" s="12" t="inlineStr">
        <is>
          <t>Southern Africa</t>
        </is>
      </c>
      <c r="B34" s="13" t="n">
        <v>158089.72</v>
      </c>
    </row>
    <row r="35">
      <c r="A35" s="12" t="inlineStr">
        <is>
          <t>Canada</t>
        </is>
      </c>
      <c r="B35" s="13" t="n">
        <v>143440.42</v>
      </c>
    </row>
    <row r="36">
      <c r="A36" s="12" t="inlineStr">
        <is>
          <t xml:space="preserve">South of  USA </t>
        </is>
      </c>
      <c r="B36" s="13" t="n">
        <v>122201.73</v>
      </c>
    </row>
    <row r="37">
      <c r="A37" s="12" t="inlineStr">
        <is>
          <t>Central Asia</t>
        </is>
      </c>
      <c r="B37" s="13" t="n">
        <v>80013.34</v>
      </c>
    </row>
    <row r="39">
      <c r="A39" s="11" t="inlineStr">
        <is>
          <t>Product Category-wise Gross Profit</t>
        </is>
      </c>
    </row>
    <row r="40">
      <c r="A40" s="2" t="inlineStr">
        <is>
          <t>Category Name</t>
        </is>
      </c>
      <c r="B40" s="2" t="inlineStr">
        <is>
          <t>Total Gross Profit</t>
        </is>
      </c>
      <c r="C40" s="2" t="n"/>
      <c r="D40" s="2" t="n"/>
      <c r="E40" s="2" t="n"/>
      <c r="F40" s="2" t="n"/>
    </row>
    <row r="41">
      <c r="A41" s="12" t="inlineStr">
        <is>
          <t>Accessories</t>
        </is>
      </c>
      <c r="B41" s="13" t="n">
        <v>0</v>
      </c>
    </row>
    <row r="42">
      <c r="A42" s="12" t="inlineStr">
        <is>
          <t>As Seen on  TV!</t>
        </is>
      </c>
      <c r="B42" s="13" t="n">
        <v>0</v>
      </c>
    </row>
    <row r="43">
      <c r="A43" s="12" t="inlineStr">
        <is>
          <t xml:space="preserve">Baby </t>
        </is>
      </c>
      <c r="B43" s="13" t="n">
        <v>0</v>
      </c>
    </row>
    <row r="44">
      <c r="A44" s="12" t="inlineStr">
        <is>
          <t>Baseball &amp; Softball</t>
        </is>
      </c>
      <c r="B44" s="13" t="n">
        <v>0</v>
      </c>
    </row>
    <row r="45">
      <c r="A45" s="12" t="inlineStr">
        <is>
          <t>Basketball</t>
        </is>
      </c>
      <c r="B45" s="13" t="n">
        <v>0</v>
      </c>
    </row>
    <row r="46">
      <c r="A46" s="12" t="inlineStr">
        <is>
          <t xml:space="preserve">Books </t>
        </is>
      </c>
      <c r="B46" s="13" t="n">
        <v>0</v>
      </c>
    </row>
    <row r="47">
      <c r="A47" s="12" t="inlineStr">
        <is>
          <t>Boxing &amp; MMA</t>
        </is>
      </c>
      <c r="B47" s="13" t="n">
        <v>0</v>
      </c>
    </row>
    <row r="48">
      <c r="A48" s="12" t="inlineStr">
        <is>
          <t xml:space="preserve">CDs </t>
        </is>
      </c>
      <c r="B48" s="13" t="n">
        <v>0</v>
      </c>
    </row>
    <row r="49">
      <c r="A49" s="12" t="inlineStr">
        <is>
          <t xml:space="preserve">Cameras </t>
        </is>
      </c>
      <c r="B49" s="13" t="n">
        <v>0</v>
      </c>
    </row>
    <row r="50">
      <c r="A50" s="12" t="inlineStr">
        <is>
          <t>Camping &amp; Hiking</t>
        </is>
      </c>
      <c r="B50" s="13" t="n">
        <v>0</v>
      </c>
    </row>
    <row r="51">
      <c r="A51" s="12" t="inlineStr">
        <is>
          <t>Cardio Equipment</t>
        </is>
      </c>
      <c r="B51" s="13" t="n">
        <v>0</v>
      </c>
    </row>
    <row r="52">
      <c r="A52" s="12" t="inlineStr">
        <is>
          <t>Children's Clothing</t>
        </is>
      </c>
      <c r="B52" s="13" t="n">
        <v>0</v>
      </c>
    </row>
    <row r="53">
      <c r="A53" s="12" t="inlineStr">
        <is>
          <t>Cleats</t>
        </is>
      </c>
      <c r="B53" s="13" t="n">
        <v>0</v>
      </c>
    </row>
    <row r="54">
      <c r="A54" s="12" t="inlineStr">
        <is>
          <t>Computers</t>
        </is>
      </c>
      <c r="B54" s="13" t="n">
        <v>0</v>
      </c>
    </row>
    <row r="55">
      <c r="A55" s="12" t="inlineStr">
        <is>
          <t>Consumer Electronics</t>
        </is>
      </c>
      <c r="B55" s="13" t="n">
        <v>0</v>
      </c>
    </row>
    <row r="56">
      <c r="A56" s="12" t="inlineStr">
        <is>
          <t>Crafts</t>
        </is>
      </c>
      <c r="B56" s="13" t="n">
        <v>0</v>
      </c>
    </row>
    <row r="57">
      <c r="A57" s="12" t="inlineStr">
        <is>
          <t>DVDs</t>
        </is>
      </c>
      <c r="B57" s="13" t="n">
        <v>0</v>
      </c>
    </row>
    <row r="58">
      <c r="A58" s="12" t="inlineStr">
        <is>
          <t>Electronics</t>
        </is>
      </c>
      <c r="B58" s="13" t="n">
        <v>0</v>
      </c>
    </row>
    <row r="59">
      <c r="A59" s="12" t="inlineStr">
        <is>
          <t>Fishing</t>
        </is>
      </c>
      <c r="B59" s="13" t="n">
        <v>0</v>
      </c>
    </row>
    <row r="60">
      <c r="A60" s="12" t="inlineStr">
        <is>
          <t>Fitness Accessories</t>
        </is>
      </c>
      <c r="B60" s="13" t="n">
        <v>0</v>
      </c>
    </row>
    <row r="61">
      <c r="A61" s="12" t="inlineStr">
        <is>
          <t>Garden</t>
        </is>
      </c>
      <c r="B61" s="13" t="n">
        <v>0</v>
      </c>
    </row>
    <row r="62">
      <c r="A62" s="12" t="inlineStr">
        <is>
          <t>Girls' Apparel</t>
        </is>
      </c>
      <c r="B62" s="13" t="n">
        <v>0</v>
      </c>
    </row>
    <row r="63">
      <c r="A63" s="12" t="inlineStr">
        <is>
          <t>Golf Apparel</t>
        </is>
      </c>
      <c r="B63" s="13" t="n">
        <v>0</v>
      </c>
    </row>
    <row r="64">
      <c r="A64" s="12" t="inlineStr">
        <is>
          <t>Golf Bags &amp; Carts</t>
        </is>
      </c>
      <c r="B64" s="13" t="n">
        <v>0</v>
      </c>
    </row>
    <row r="65">
      <c r="A65" s="12" t="inlineStr">
        <is>
          <t>Golf Balls</t>
        </is>
      </c>
      <c r="B65" s="13" t="n">
        <v>0</v>
      </c>
    </row>
    <row r="66">
      <c r="A66" s="12" t="inlineStr">
        <is>
          <t>Golf Gloves</t>
        </is>
      </c>
      <c r="B66" s="13" t="n">
        <v>0</v>
      </c>
    </row>
    <row r="67">
      <c r="A67" s="12" t="inlineStr">
        <is>
          <t>Golf Shoes</t>
        </is>
      </c>
      <c r="B67" s="13" t="n">
        <v>0</v>
      </c>
    </row>
    <row r="68">
      <c r="A68" s="12" t="inlineStr">
        <is>
          <t>Health and Beauty</t>
        </is>
      </c>
      <c r="B68" s="13" t="n">
        <v>0</v>
      </c>
    </row>
    <row r="69">
      <c r="A69" s="12" t="inlineStr">
        <is>
          <t>Hockey</t>
        </is>
      </c>
      <c r="B69" s="13" t="n">
        <v>0</v>
      </c>
    </row>
    <row r="70">
      <c r="A70" s="12" t="inlineStr">
        <is>
          <t>Hunting &amp; Shooting</t>
        </is>
      </c>
      <c r="B70" s="13" t="n">
        <v>0</v>
      </c>
    </row>
    <row r="71">
      <c r="A71" s="12" t="inlineStr">
        <is>
          <t>Indoor/Outdoor Games</t>
        </is>
      </c>
      <c r="B71" s="13" t="n">
        <v>0</v>
      </c>
    </row>
    <row r="72">
      <c r="A72" s="12" t="inlineStr">
        <is>
          <t>Kids' Golf Clubs</t>
        </is>
      </c>
      <c r="B72" s="13" t="n">
        <v>0</v>
      </c>
    </row>
    <row r="73">
      <c r="A73" s="12" t="inlineStr">
        <is>
          <t>Lacrosse</t>
        </is>
      </c>
      <c r="B73" s="13" t="n">
        <v>0</v>
      </c>
    </row>
    <row r="74">
      <c r="A74" s="12" t="inlineStr">
        <is>
          <t>Men's Clothing</t>
        </is>
      </c>
      <c r="B74" s="13" t="n">
        <v>0</v>
      </c>
    </row>
    <row r="75">
      <c r="A75" s="12" t="inlineStr">
        <is>
          <t>Men's Footwear</t>
        </is>
      </c>
      <c r="B75" s="13" t="n">
        <v>0</v>
      </c>
    </row>
    <row r="76">
      <c r="A76" s="12" t="inlineStr">
        <is>
          <t>Men's Golf Clubs</t>
        </is>
      </c>
      <c r="B76" s="13" t="n">
        <v>0</v>
      </c>
    </row>
    <row r="77">
      <c r="A77" s="12" t="inlineStr">
        <is>
          <t>Music</t>
        </is>
      </c>
      <c r="B77" s="13" t="n">
        <v>0</v>
      </c>
    </row>
    <row r="78">
      <c r="A78" s="12" t="inlineStr">
        <is>
          <t>Pet Supplies</t>
        </is>
      </c>
      <c r="B78" s="13" t="n">
        <v>0</v>
      </c>
    </row>
    <row r="79">
      <c r="A79" s="12" t="inlineStr">
        <is>
          <t>Shop By Sport</t>
        </is>
      </c>
      <c r="B79" s="13" t="n">
        <v>0</v>
      </c>
    </row>
    <row r="80">
      <c r="A80" s="12" t="inlineStr">
        <is>
          <t>Soccer</t>
        </is>
      </c>
      <c r="B80" s="13" t="n">
        <v>0</v>
      </c>
    </row>
    <row r="81">
      <c r="A81" s="12" t="inlineStr">
        <is>
          <t>Sporting Goods</t>
        </is>
      </c>
      <c r="B81" s="13" t="n">
        <v>0</v>
      </c>
    </row>
    <row r="82">
      <c r="A82" s="12" t="inlineStr">
        <is>
          <t>Strength Training</t>
        </is>
      </c>
      <c r="B82" s="13" t="n">
        <v>0</v>
      </c>
    </row>
    <row r="83">
      <c r="A83" s="12" t="inlineStr">
        <is>
          <t>Tennis &amp; Racquet</t>
        </is>
      </c>
      <c r="B83" s="13" t="n">
        <v>0</v>
      </c>
    </row>
    <row r="84">
      <c r="A84" s="12" t="inlineStr">
        <is>
          <t>Toys</t>
        </is>
      </c>
      <c r="B84" s="13" t="n">
        <v>0</v>
      </c>
    </row>
    <row r="85">
      <c r="A85" s="12" t="inlineStr">
        <is>
          <t>Trade-In</t>
        </is>
      </c>
      <c r="B85" s="13" t="n">
        <v>0</v>
      </c>
    </row>
    <row r="86">
      <c r="A86" s="12" t="inlineStr">
        <is>
          <t>Video Games</t>
        </is>
      </c>
      <c r="B86" s="13" t="n">
        <v>0</v>
      </c>
    </row>
    <row r="87">
      <c r="A87" s="12" t="inlineStr">
        <is>
          <t>Water Sports</t>
        </is>
      </c>
      <c r="B87" s="13" t="n">
        <v>0</v>
      </c>
    </row>
    <row r="88">
      <c r="A88" s="12" t="inlineStr">
        <is>
          <t>Women's Apparel</t>
        </is>
      </c>
      <c r="B88" s="13" t="n">
        <v>0</v>
      </c>
    </row>
    <row r="89">
      <c r="A89" s="12" t="inlineStr">
        <is>
          <t>Women's Clothing</t>
        </is>
      </c>
      <c r="B89" s="13" t="n">
        <v>0</v>
      </c>
    </row>
    <row r="90">
      <c r="A90" s="12" t="inlineStr">
        <is>
          <t>Women's Golf Clubs</t>
        </is>
      </c>
      <c r="B90" s="13" t="n">
        <v>0</v>
      </c>
    </row>
  </sheetData>
  <mergeCells count="2">
    <mergeCell ref="A1:D1"/>
    <mergeCell ref="A11:F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4"/>
  <sheetViews>
    <sheetView workbookViewId="0">
      <selection activeCell="A1" sqref="A1"/>
    </sheetView>
  </sheetViews>
  <sheetFormatPr baseColWidth="8" defaultRowHeight="15"/>
  <sheetData>
    <row r="1">
      <c r="A1" s="5" t="inlineStr">
        <is>
          <t>Part E — Data Visualization (Chart Source Data)</t>
        </is>
      </c>
    </row>
    <row r="3">
      <c r="A3" s="2" t="inlineStr">
        <is>
          <t>Chart Type</t>
        </is>
      </c>
      <c r="B3" s="2" t="inlineStr">
        <is>
          <t>Description</t>
        </is>
      </c>
      <c r="C3" s="2" t="inlineStr">
        <is>
          <t>Instructions</t>
        </is>
      </c>
      <c r="D3" s="2" t="n"/>
      <c r="E3" s="2" t="n"/>
      <c r="F3" s="2" t="n"/>
    </row>
    <row r="4" ht="50" customHeight="1">
      <c r="A4" s="14" t="inlineStr">
        <is>
          <t>Column Chart</t>
        </is>
      </c>
      <c r="B4" s="4" t="inlineStr">
        <is>
          <t>Product Category vs Sales Revenue</t>
        </is>
      </c>
      <c r="C4" s="4" t="inlineStr">
        <is>
          <t>Insert → Column Chart. X-axis: Category Name, Y-axis: SUM of Sales. Shows top revenue-generating product categories.</t>
        </is>
      </c>
    </row>
    <row r="5" ht="50" customHeight="1">
      <c r="A5" s="14" t="inlineStr">
        <is>
          <t>Pie Chart</t>
        </is>
      </c>
      <c r="B5" s="4" t="inlineStr">
        <is>
          <t>Transportation Mode Distribution</t>
        </is>
      </c>
      <c r="C5" s="4" t="inlineStr">
        <is>
          <t>Insert → Pie Chart. Shows proportion of orders by Shipping Mode. Highlights which mode dominates.</t>
        </is>
      </c>
    </row>
    <row r="6" ht="50" customHeight="1">
      <c r="A6" s="14" t="inlineStr">
        <is>
          <t>Bar Chart</t>
        </is>
      </c>
      <c r="B6" s="4" t="inlineStr">
        <is>
          <t>Supplier-wise Gross Profit</t>
        </is>
      </c>
      <c r="C6" s="4" t="inlineStr">
        <is>
          <t>Insert → Bar Chart (Horizontal). X-axis: Gross Profit, Y-axis: Supplier. Compares profitability across suppliers/regions.</t>
        </is>
      </c>
    </row>
    <row r="7" ht="50" customHeight="1">
      <c r="A7" s="14" t="inlineStr">
        <is>
          <t>Line Chart</t>
        </is>
      </c>
      <c r="B7" s="4" t="inlineStr">
        <is>
          <t>Monthly Sales Revenue Trend</t>
        </is>
      </c>
      <c r="C7" s="4" t="inlineStr">
        <is>
          <t>Insert → Line Chart. X-axis: Order Month, Y-axis: Sales. Reveals seasonality and sales trends over time.</t>
        </is>
      </c>
    </row>
    <row r="8" ht="50" customHeight="1">
      <c r="A8" s="14" t="inlineStr">
        <is>
          <t>Scatter Plot</t>
        </is>
      </c>
      <c r="B8" s="4" t="inlineStr">
        <is>
          <t>Delivery Days vs Customer Rating</t>
        </is>
      </c>
      <c r="C8" s="4" t="inlineStr">
        <is>
          <t>Insert → Scatter Plot. X-axis: Delivery Days, Y-axis: Customer Rating (Benefit per order proxy). Shows correlation between delivery speed and satisfaction.</t>
        </is>
      </c>
    </row>
    <row r="10">
      <c r="A10" s="6" t="inlineStr">
        <is>
          <t>Chart Source Data (Aggregated)</t>
        </is>
      </c>
    </row>
    <row r="12">
      <c r="A12" s="15" t="inlineStr">
        <is>
          <t>Monthly Sales Revenue</t>
        </is>
      </c>
    </row>
    <row r="13">
      <c r="A13" s="2" t="inlineStr">
        <is>
          <t>Month</t>
        </is>
      </c>
      <c r="B13" s="2" t="inlineStr">
        <is>
          <t>Sales Revenue</t>
        </is>
      </c>
      <c r="C13" s="2" t="n"/>
      <c r="D13" s="2" t="n"/>
      <c r="E13" s="2" t="n"/>
      <c r="F13" s="2" t="n"/>
      <c r="G13" s="2" t="n"/>
      <c r="H13" s="2" t="n"/>
    </row>
    <row r="14">
      <c r="A14" s="12" t="inlineStr">
        <is>
          <t>Month 1</t>
        </is>
      </c>
      <c r="B14" s="13" t="n">
        <v>3459246.47</v>
      </c>
    </row>
    <row r="15">
      <c r="A15" s="12" t="inlineStr">
        <is>
          <t>Month 2</t>
        </is>
      </c>
      <c r="B15" s="13" t="n">
        <v>2888087.65</v>
      </c>
    </row>
    <row r="16">
      <c r="A16" s="12" t="inlineStr">
        <is>
          <t>Month 3</t>
        </is>
      </c>
      <c r="B16" s="13" t="n">
        <v>3125111.59</v>
      </c>
    </row>
    <row r="17">
      <c r="A17" s="12" t="inlineStr">
        <is>
          <t>Month 4</t>
        </is>
      </c>
      <c r="B17" s="13" t="n">
        <v>2643929.95</v>
      </c>
    </row>
    <row r="18">
      <c r="A18" s="12" t="inlineStr">
        <is>
          <t>Month 10</t>
        </is>
      </c>
      <c r="B18" s="13" t="n">
        <v>3171278.99</v>
      </c>
    </row>
    <row r="19">
      <c r="A19" s="12" t="inlineStr">
        <is>
          <t>Month 11</t>
        </is>
      </c>
      <c r="B19" s="13" t="n">
        <v>2703624.77</v>
      </c>
    </row>
    <row r="20">
      <c r="A20" s="12" t="inlineStr">
        <is>
          <t>Month 12</t>
        </is>
      </c>
      <c r="B20" s="13" t="n">
        <v>2599159.87</v>
      </c>
    </row>
    <row r="23">
      <c r="A23" s="15" t="inlineStr">
        <is>
          <t>Delivery Days vs Customer Rating (Sample)</t>
        </is>
      </c>
    </row>
    <row r="24">
      <c r="A24" s="2" t="inlineStr">
        <is>
          <t>Delivery Days</t>
        </is>
      </c>
      <c r="B24" s="2" t="inlineStr">
        <is>
          <t>Customer Rating (Benefit)</t>
        </is>
      </c>
      <c r="C24" s="2" t="n"/>
      <c r="D24" s="2" t="n"/>
      <c r="E24" s="2" t="n"/>
      <c r="F24" s="2" t="n"/>
      <c r="G24" s="2" t="n"/>
      <c r="H24" s="2" t="n"/>
    </row>
    <row r="25">
      <c r="A25" s="12" t="n">
        <v>2</v>
      </c>
      <c r="B25" s="12" t="n">
        <v>88.79000000000001</v>
      </c>
    </row>
    <row r="26">
      <c r="A26" s="12" t="n">
        <v>3</v>
      </c>
      <c r="B26" s="12" t="n">
        <v>91.18000000000001</v>
      </c>
    </row>
    <row r="27">
      <c r="A27" s="12" t="n">
        <v>3</v>
      </c>
      <c r="B27" s="12" t="n">
        <v>36.47</v>
      </c>
    </row>
    <row r="28">
      <c r="A28" s="12" t="n">
        <v>3</v>
      </c>
      <c r="B28" s="12" t="n">
        <v>68.25</v>
      </c>
    </row>
    <row r="29">
      <c r="A29" s="12" t="n">
        <v>5</v>
      </c>
      <c r="B29" s="12" t="n">
        <v>4.1</v>
      </c>
    </row>
    <row r="30">
      <c r="A30" s="12" t="n">
        <v>5</v>
      </c>
      <c r="B30" s="12" t="n">
        <v>60.27</v>
      </c>
    </row>
    <row r="31">
      <c r="A31" s="12" t="n">
        <v>5</v>
      </c>
      <c r="B31" s="12" t="n">
        <v>26.13</v>
      </c>
    </row>
    <row r="32">
      <c r="A32" s="12" t="n">
        <v>5</v>
      </c>
      <c r="B32" s="12" t="n">
        <v>33.59</v>
      </c>
    </row>
    <row r="33">
      <c r="A33" s="12" t="n">
        <v>6</v>
      </c>
      <c r="B33" s="12" t="n">
        <v>34.94</v>
      </c>
    </row>
    <row r="34">
      <c r="A34" s="12" t="n">
        <v>6</v>
      </c>
      <c r="B34" s="12" t="n">
        <v>109.55</v>
      </c>
    </row>
    <row r="35">
      <c r="A35" s="12" t="n">
        <v>6</v>
      </c>
      <c r="B35" s="12" t="n">
        <v>92.23999999999999</v>
      </c>
    </row>
    <row r="36">
      <c r="A36" s="12" t="n">
        <v>6</v>
      </c>
      <c r="B36" s="12" t="n">
        <v>143.98</v>
      </c>
    </row>
    <row r="37">
      <c r="A37" s="12" t="n">
        <v>6</v>
      </c>
      <c r="B37" s="12" t="n">
        <v>9.380000000000001</v>
      </c>
    </row>
    <row r="38">
      <c r="A38" s="12" t="n">
        <v>6</v>
      </c>
      <c r="B38" s="12" t="n">
        <v>19.8</v>
      </c>
    </row>
    <row r="39">
      <c r="A39" s="12" t="n">
        <v>2</v>
      </c>
      <c r="B39" s="12" t="n">
        <v>179.67</v>
      </c>
    </row>
    <row r="40">
      <c r="A40" s="12" t="n">
        <v>2</v>
      </c>
      <c r="B40" s="12" t="n">
        <v>24.7</v>
      </c>
    </row>
    <row r="41">
      <c r="A41" s="12" t="n">
        <v>2</v>
      </c>
      <c r="B41" s="12" t="n">
        <v>57.74</v>
      </c>
    </row>
    <row r="42">
      <c r="A42" s="12" t="n">
        <v>2</v>
      </c>
      <c r="B42" s="12" t="n">
        <v>18.2</v>
      </c>
    </row>
    <row r="43">
      <c r="A43" s="12" t="n">
        <v>2</v>
      </c>
      <c r="B43" s="12" t="n">
        <v>-277.09</v>
      </c>
    </row>
    <row r="44">
      <c r="A44" s="12" t="n">
        <v>2</v>
      </c>
      <c r="B44" s="12" t="n">
        <v>131.12</v>
      </c>
    </row>
    <row r="45">
      <c r="A45" s="12" t="n">
        <v>6</v>
      </c>
      <c r="B45" s="12" t="n">
        <v>33.69</v>
      </c>
    </row>
    <row r="46">
      <c r="A46" s="12" t="n">
        <v>2</v>
      </c>
      <c r="B46" s="12" t="n">
        <v>-3.97</v>
      </c>
    </row>
    <row r="47">
      <c r="A47" s="12" t="n">
        <v>2</v>
      </c>
      <c r="B47" s="12" t="n">
        <v>176.39</v>
      </c>
    </row>
    <row r="48">
      <c r="A48" s="12" t="n">
        <v>2</v>
      </c>
      <c r="B48" s="12" t="n">
        <v>1.18</v>
      </c>
    </row>
    <row r="49">
      <c r="A49" s="12" t="n">
        <v>3</v>
      </c>
      <c r="B49" s="12" t="n">
        <v>13.94</v>
      </c>
    </row>
    <row r="50">
      <c r="A50" s="12" t="n">
        <v>3</v>
      </c>
      <c r="B50" s="12" t="n">
        <v>6.6</v>
      </c>
    </row>
    <row r="51">
      <c r="A51" s="12" t="n">
        <v>4</v>
      </c>
      <c r="B51" s="12" t="n">
        <v>43</v>
      </c>
    </row>
    <row r="52">
      <c r="A52" s="12" t="n">
        <v>4</v>
      </c>
      <c r="B52" s="12" t="n">
        <v>75.59999999999999</v>
      </c>
    </row>
    <row r="53">
      <c r="A53" s="12" t="n">
        <v>5</v>
      </c>
      <c r="B53" s="12" t="n">
        <v>3.72</v>
      </c>
    </row>
    <row r="54">
      <c r="A54" s="12" t="n">
        <v>2</v>
      </c>
      <c r="B54" s="12" t="n">
        <v>49.28</v>
      </c>
    </row>
    <row r="55">
      <c r="A55" s="12" t="n">
        <v>2</v>
      </c>
      <c r="B55" s="12" t="n">
        <v>9.35</v>
      </c>
    </row>
    <row r="56">
      <c r="A56" s="12" t="n">
        <v>2</v>
      </c>
      <c r="B56" s="12" t="n">
        <v>3.75</v>
      </c>
    </row>
    <row r="57">
      <c r="A57" s="12" t="n">
        <v>2</v>
      </c>
      <c r="B57" s="12" t="n">
        <v>47.32</v>
      </c>
    </row>
    <row r="58">
      <c r="A58" s="12" t="n">
        <v>2</v>
      </c>
      <c r="B58" s="12" t="n">
        <v>93.36</v>
      </c>
    </row>
    <row r="59">
      <c r="A59" s="12" t="n">
        <v>2</v>
      </c>
      <c r="B59" s="12" t="n">
        <v>-9.27</v>
      </c>
    </row>
    <row r="60">
      <c r="A60" s="12" t="n">
        <v>2</v>
      </c>
      <c r="B60" s="12" t="n">
        <v>60.52</v>
      </c>
    </row>
    <row r="61">
      <c r="A61" s="12" t="n">
        <v>2</v>
      </c>
      <c r="B61" s="12" t="n">
        <v>-46.45</v>
      </c>
    </row>
    <row r="62">
      <c r="A62" s="12" t="n">
        <v>5</v>
      </c>
      <c r="B62" s="12" t="n">
        <v>63.24</v>
      </c>
    </row>
    <row r="63">
      <c r="A63" s="12" t="n">
        <v>6</v>
      </c>
      <c r="B63" s="12" t="n">
        <v>5.69</v>
      </c>
    </row>
    <row r="64">
      <c r="A64" s="12" t="n">
        <v>6</v>
      </c>
      <c r="B64" s="12" t="n">
        <v>23.27</v>
      </c>
    </row>
    <row r="65">
      <c r="A65" s="12" t="n">
        <v>6</v>
      </c>
      <c r="B65" s="12" t="n">
        <v>82.3</v>
      </c>
    </row>
    <row r="66">
      <c r="A66" s="12" t="n">
        <v>6</v>
      </c>
      <c r="B66" s="12" t="n">
        <v>-13.71</v>
      </c>
    </row>
    <row r="67">
      <c r="A67" s="12" t="n">
        <v>2</v>
      </c>
      <c r="B67" s="12" t="n">
        <v>-191.09</v>
      </c>
    </row>
    <row r="68">
      <c r="A68" s="12" t="n">
        <v>2</v>
      </c>
      <c r="B68" s="12" t="n">
        <v>-3.42</v>
      </c>
    </row>
    <row r="69">
      <c r="A69" s="12" t="n">
        <v>4</v>
      </c>
      <c r="B69" s="12" t="n">
        <v>11.76</v>
      </c>
    </row>
    <row r="70">
      <c r="A70" s="12" t="n">
        <v>4</v>
      </c>
      <c r="B70" s="12" t="n">
        <v>11.05</v>
      </c>
    </row>
    <row r="71">
      <c r="A71" s="12" t="n">
        <v>5</v>
      </c>
      <c r="B71" s="12" t="n">
        <v>43.5</v>
      </c>
    </row>
    <row r="72">
      <c r="A72" s="12" t="n">
        <v>5</v>
      </c>
      <c r="B72" s="12" t="n">
        <v>120.95</v>
      </c>
    </row>
    <row r="73">
      <c r="A73" s="12" t="n">
        <v>5</v>
      </c>
      <c r="B73" s="12" t="n">
        <v>41.38</v>
      </c>
    </row>
    <row r="74">
      <c r="A74" s="12" t="n">
        <v>6</v>
      </c>
      <c r="B74" s="12" t="n">
        <v>8.19</v>
      </c>
    </row>
    <row r="75">
      <c r="A75" s="12" t="n">
        <v>6</v>
      </c>
      <c r="B75" s="12" t="n">
        <v>64.02</v>
      </c>
    </row>
    <row r="76">
      <c r="A76" s="12" t="n">
        <v>2</v>
      </c>
      <c r="B76" s="12" t="n">
        <v>-9.76</v>
      </c>
    </row>
    <row r="77">
      <c r="A77" s="12" t="n">
        <v>2</v>
      </c>
      <c r="B77" s="12" t="n">
        <v>94.5</v>
      </c>
    </row>
    <row r="78">
      <c r="A78" s="12" t="n">
        <v>3</v>
      </c>
      <c r="B78" s="12" t="n">
        <v>55.33</v>
      </c>
    </row>
    <row r="79">
      <c r="A79" s="12" t="n">
        <v>3</v>
      </c>
      <c r="B79" s="12" t="n">
        <v>59.04</v>
      </c>
    </row>
    <row r="80">
      <c r="A80" s="12" t="n">
        <v>2</v>
      </c>
      <c r="B80" s="12" t="n">
        <v>79.37</v>
      </c>
    </row>
    <row r="81">
      <c r="A81" s="12" t="n">
        <v>2</v>
      </c>
      <c r="B81" s="12" t="n">
        <v>66.15000000000001</v>
      </c>
    </row>
    <row r="82">
      <c r="A82" s="12" t="n">
        <v>2</v>
      </c>
      <c r="B82" s="12" t="n">
        <v>1.74</v>
      </c>
    </row>
    <row r="83">
      <c r="A83" s="12" t="n">
        <v>3</v>
      </c>
      <c r="B83" s="12" t="n">
        <v>26.32</v>
      </c>
    </row>
    <row r="84">
      <c r="A84" s="12" t="n">
        <v>3</v>
      </c>
      <c r="B84" s="12" t="n">
        <v>16.13</v>
      </c>
    </row>
    <row r="85">
      <c r="A85" s="12" t="n">
        <v>3</v>
      </c>
      <c r="B85" s="12" t="n">
        <v>-102.03</v>
      </c>
    </row>
    <row r="86">
      <c r="A86" s="12" t="n">
        <v>3</v>
      </c>
      <c r="B86" s="12" t="n">
        <v>90.84</v>
      </c>
    </row>
    <row r="87">
      <c r="A87" s="12" t="n">
        <v>4</v>
      </c>
      <c r="B87" s="12" t="n">
        <v>40.56</v>
      </c>
    </row>
    <row r="88">
      <c r="A88" s="12" t="n">
        <v>4</v>
      </c>
      <c r="B88" s="12" t="n">
        <v>4.69</v>
      </c>
    </row>
    <row r="89">
      <c r="A89" s="12" t="n">
        <v>4</v>
      </c>
      <c r="B89" s="12" t="n">
        <v>174.79</v>
      </c>
    </row>
    <row r="90">
      <c r="A90" s="12" t="n">
        <v>4</v>
      </c>
      <c r="B90" s="12" t="n">
        <v>8.44</v>
      </c>
    </row>
    <row r="91">
      <c r="A91" s="12" t="n">
        <v>4</v>
      </c>
      <c r="B91" s="12" t="n">
        <v>89.3</v>
      </c>
    </row>
    <row r="92">
      <c r="A92" s="12" t="n">
        <v>3</v>
      </c>
      <c r="B92" s="12" t="n">
        <v>120.95</v>
      </c>
    </row>
    <row r="93">
      <c r="A93" s="12" t="n">
        <v>3</v>
      </c>
      <c r="B93" s="12" t="n">
        <v>78.40000000000001</v>
      </c>
    </row>
    <row r="94">
      <c r="A94" s="12" t="n">
        <v>3</v>
      </c>
      <c r="B94" s="12" t="n">
        <v>4.58</v>
      </c>
    </row>
    <row r="95">
      <c r="A95" s="12" t="n">
        <v>4</v>
      </c>
      <c r="B95" s="12" t="n">
        <v>-131.15</v>
      </c>
    </row>
    <row r="96">
      <c r="A96" s="12" t="n">
        <v>4</v>
      </c>
      <c r="B96" s="12" t="n">
        <v>1.49</v>
      </c>
    </row>
    <row r="97">
      <c r="A97" s="12" t="n">
        <v>4</v>
      </c>
      <c r="B97" s="12" t="n">
        <v>16.88</v>
      </c>
    </row>
    <row r="98">
      <c r="A98" s="12" t="n">
        <v>4</v>
      </c>
      <c r="B98" s="12" t="n">
        <v>73.11</v>
      </c>
    </row>
    <row r="99">
      <c r="A99" s="12" t="n">
        <v>5</v>
      </c>
      <c r="B99" s="12" t="n">
        <v>96</v>
      </c>
    </row>
    <row r="100">
      <c r="A100" s="12" t="n">
        <v>5</v>
      </c>
      <c r="B100" s="12" t="n">
        <v>19.8</v>
      </c>
    </row>
    <row r="101">
      <c r="A101" s="12" t="n">
        <v>5</v>
      </c>
      <c r="B101" s="12" t="n">
        <v>3.8</v>
      </c>
    </row>
    <row r="102">
      <c r="A102" s="12" t="n">
        <v>5</v>
      </c>
      <c r="B102" s="12" t="n">
        <v>48</v>
      </c>
    </row>
    <row r="103">
      <c r="A103" s="12" t="n">
        <v>5</v>
      </c>
      <c r="B103" s="12" t="n">
        <v>-20.88</v>
      </c>
    </row>
    <row r="104">
      <c r="A104" s="12" t="n">
        <v>5</v>
      </c>
      <c r="B104" s="12" t="n">
        <v>14.28</v>
      </c>
    </row>
    <row r="105">
      <c r="A105" s="12" t="n">
        <v>5</v>
      </c>
      <c r="B105" s="12" t="n">
        <v>96.52</v>
      </c>
    </row>
    <row r="106">
      <c r="A106" s="12" t="n">
        <v>2</v>
      </c>
      <c r="B106" s="12" t="n">
        <v>-40.33</v>
      </c>
    </row>
    <row r="107">
      <c r="A107" s="12" t="n">
        <v>2</v>
      </c>
      <c r="B107" s="12" t="n">
        <v>42.25</v>
      </c>
    </row>
    <row r="108">
      <c r="A108" s="12" t="n">
        <v>2</v>
      </c>
      <c r="B108" s="12" t="n">
        <v>48</v>
      </c>
    </row>
    <row r="109">
      <c r="A109" s="12" t="n">
        <v>3</v>
      </c>
      <c r="B109" s="12" t="n">
        <v>14.2</v>
      </c>
    </row>
    <row r="110">
      <c r="A110" s="12" t="n">
        <v>3</v>
      </c>
      <c r="B110" s="12" t="n">
        <v>86.98999999999999</v>
      </c>
    </row>
    <row r="111">
      <c r="A111" s="12" t="n">
        <v>3</v>
      </c>
      <c r="B111" s="12" t="n">
        <v>106.69</v>
      </c>
    </row>
    <row r="112">
      <c r="A112" s="12" t="n">
        <v>3</v>
      </c>
      <c r="B112" s="12" t="n">
        <v>28.8</v>
      </c>
    </row>
    <row r="113">
      <c r="A113" s="12" t="n">
        <v>4</v>
      </c>
      <c r="B113" s="12" t="n">
        <v>91.08</v>
      </c>
    </row>
    <row r="114">
      <c r="A114" s="12" t="n">
        <v>4</v>
      </c>
      <c r="B114" s="12" t="n">
        <v>137.19</v>
      </c>
    </row>
    <row r="115">
      <c r="A115" s="12" t="n">
        <v>4</v>
      </c>
      <c r="B115" s="12" t="n">
        <v>30.02</v>
      </c>
    </row>
    <row r="116">
      <c r="A116" s="12" t="n">
        <v>2</v>
      </c>
      <c r="B116" s="12" t="n">
        <v>-40.49</v>
      </c>
    </row>
    <row r="117">
      <c r="A117" s="12" t="n">
        <v>2</v>
      </c>
      <c r="B117" s="12" t="n">
        <v>5.31</v>
      </c>
    </row>
    <row r="118">
      <c r="A118" s="12" t="n">
        <v>2</v>
      </c>
      <c r="B118" s="12" t="n">
        <v>62.39</v>
      </c>
    </row>
    <row r="119">
      <c r="A119" s="12" t="n">
        <v>2</v>
      </c>
      <c r="B119" s="12" t="n">
        <v>61.74</v>
      </c>
    </row>
    <row r="120">
      <c r="A120" s="12" t="n">
        <v>2</v>
      </c>
      <c r="B120" s="12" t="n">
        <v>-433.5</v>
      </c>
    </row>
    <row r="121">
      <c r="A121" s="12" t="n">
        <v>2</v>
      </c>
      <c r="B121" s="12" t="n">
        <v>19.8</v>
      </c>
    </row>
    <row r="122">
      <c r="A122" s="12" t="n">
        <v>2</v>
      </c>
      <c r="B122" s="12" t="n">
        <v>51.79</v>
      </c>
    </row>
    <row r="123">
      <c r="A123" s="12" t="n">
        <v>2</v>
      </c>
      <c r="B123" s="12" t="n">
        <v>0</v>
      </c>
    </row>
    <row r="124">
      <c r="A124" s="12" t="n">
        <v>2</v>
      </c>
      <c r="B124" s="12" t="n">
        <v>81.11</v>
      </c>
    </row>
  </sheetData>
  <mergeCells count="2">
    <mergeCell ref="A1:F1"/>
    <mergeCell ref="A10:H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0" customWidth="1" min="1" max="1"/>
    <col width="50" customWidth="1" min="2" max="2"/>
    <col width="30" customWidth="1" min="3" max="3"/>
    <col width="30" customWidth="1" min="4" max="4"/>
  </cols>
  <sheetData>
    <row r="1">
      <c r="A1" s="5" t="inlineStr">
        <is>
          <t>Part F — Interactive Dashboard Design</t>
        </is>
      </c>
    </row>
    <row r="3">
      <c r="A3" s="2" t="inlineStr">
        <is>
          <t>Dashboard Element</t>
        </is>
      </c>
      <c r="B3" s="2" t="inlineStr">
        <is>
          <t>Value / Description</t>
        </is>
      </c>
      <c r="C3" s="2" t="inlineStr">
        <is>
          <t>Visual Type</t>
        </is>
      </c>
      <c r="D3" s="2" t="inlineStr">
        <is>
          <t>Purpose</t>
        </is>
      </c>
    </row>
    <row r="4" ht="40" customHeight="1">
      <c r="A4" s="14" t="inlineStr">
        <is>
          <t>Total Purchase Cost</t>
        </is>
      </c>
      <c r="B4" s="4" t="inlineStr">
        <is>
          <t>$20,590,439.28</t>
        </is>
      </c>
      <c r="C4" s="4" t="inlineStr">
        <is>
          <t>Card / KPI Tile</t>
        </is>
      </c>
      <c r="D4" s="4" t="inlineStr">
        <is>
          <t>Top-level KPI</t>
        </is>
      </c>
    </row>
    <row r="5" ht="40" customHeight="1">
      <c r="A5" s="14" t="inlineStr">
        <is>
          <t>Total Sales Revenue</t>
        </is>
      </c>
      <c r="B5" s="4" t="inlineStr">
        <is>
          <t>$20,590,439.28</t>
        </is>
      </c>
      <c r="C5" s="4" t="inlineStr">
        <is>
          <t>Card / KPI Tile</t>
        </is>
      </c>
      <c r="D5" s="4" t="inlineStr">
        <is>
          <t>Top-level KPI</t>
        </is>
      </c>
    </row>
    <row r="6" ht="40" customHeight="1">
      <c r="A6" s="14" t="inlineStr">
        <is>
          <t>Total Gross Profit</t>
        </is>
      </c>
      <c r="B6" s="4" t="inlineStr">
        <is>
          <t>$0.00</t>
        </is>
      </c>
      <c r="C6" s="4" t="inlineStr">
        <is>
          <t>Card / KPI Tile</t>
        </is>
      </c>
      <c r="D6" s="4" t="inlineStr">
        <is>
          <t>Top-level KPI</t>
        </is>
      </c>
    </row>
    <row r="7" ht="40" customHeight="1">
      <c r="A7" s="14" t="inlineStr">
        <is>
          <t>Average Delivery Days</t>
        </is>
      </c>
      <c r="B7" s="4" t="inlineStr">
        <is>
          <t>3.51</t>
        </is>
      </c>
      <c r="C7" s="4" t="inlineStr">
        <is>
          <t>Card / KPI Tile</t>
        </is>
      </c>
      <c r="D7" s="4" t="inlineStr">
        <is>
          <t>Top-level KPI</t>
        </is>
      </c>
    </row>
    <row r="8" ht="40" customHeight="1">
      <c r="A8" s="14" t="inlineStr">
        <is>
          <t>Highest Revenue Category</t>
        </is>
      </c>
      <c r="B8" s="4" t="inlineStr">
        <is>
          <t>Accessories</t>
        </is>
      </c>
      <c r="C8" s="4" t="inlineStr">
        <is>
          <t>KPI + Sparkline</t>
        </is>
      </c>
      <c r="D8" s="4" t="inlineStr">
        <is>
          <t>Top category</t>
        </is>
      </c>
    </row>
    <row r="9" ht="40" customHeight="1">
      <c r="A9" s="14" t="inlineStr">
        <is>
          <t>Best Performing Region</t>
        </is>
      </c>
      <c r="B9" s="4" t="inlineStr">
        <is>
          <t>Central America</t>
        </is>
      </c>
      <c r="C9" s="4" t="inlineStr">
        <is>
          <t>KPI + Sparkline</t>
        </is>
      </c>
      <c r="D9" s="4" t="inlineStr">
        <is>
          <t>Top region</t>
        </is>
      </c>
    </row>
    <row r="10" ht="40" customHeight="1">
      <c r="A10" s="14" t="inlineStr">
        <is>
          <t>Region-wise Sales</t>
        </is>
      </c>
      <c r="B10" s="4" t="inlineStr">
        <is>
          <t>See chart: Column chart by Order Region</t>
        </is>
      </c>
      <c r="C10" s="4" t="inlineStr">
        <is>
          <t>PivotChart</t>
        </is>
      </c>
      <c r="D10" s="4" t="inlineStr">
        <is>
          <t>Visual comparison</t>
        </is>
      </c>
    </row>
    <row r="11" ht="40" customHeight="1">
      <c r="A11" s="14" t="inlineStr">
        <is>
          <t>Inventory Status Distribution</t>
        </is>
      </c>
      <c r="B11" s="4" t="inlineStr">
        <is>
          <t>Low Stock vs Sufficient Stock count</t>
        </is>
      </c>
      <c r="C11" s="4" t="inlineStr">
        <is>
          <t>Pie/Donut Chart</t>
        </is>
      </c>
      <c r="D11" s="4" t="inlineStr">
        <is>
          <t>Stock health</t>
        </is>
      </c>
    </row>
    <row r="12" ht="40" customHeight="1">
      <c r="A12" s="14" t="inlineStr">
        <is>
          <t>Customer Rating Analysis</t>
        </is>
      </c>
      <c r="B12" s="4" t="inlineStr">
        <is>
          <t>Avg Rating by Region/Category</t>
        </is>
      </c>
      <c r="C12" s="4" t="inlineStr">
        <is>
          <t>Bar Chart</t>
        </is>
      </c>
      <c r="D12" s="4" t="inlineStr">
        <is>
          <t>Satisfaction insights</t>
        </is>
      </c>
    </row>
    <row r="13" ht="40" customHeight="1">
      <c r="A13" s="14" t="inlineStr">
        <is>
          <t>SLICERS</t>
        </is>
      </c>
      <c r="B13" s="4" t="inlineStr">
        <is>
          <t>Supplier, Region, Warehouse, Product Category, Transportation Mode</t>
        </is>
      </c>
      <c r="C13" s="4" t="inlineStr">
        <is>
          <t>Slicers (Timeline + Slicer)</t>
        </is>
      </c>
      <c r="D13" s="4" t="inlineStr">
        <is>
          <t>Interactive filters</t>
        </is>
      </c>
    </row>
    <row r="15">
      <c r="A15" s="6" t="inlineStr">
        <is>
          <t>Slicer Reference Data</t>
        </is>
      </c>
    </row>
    <row r="17">
      <c r="A17" s="16" t="inlineStr">
        <is>
          <t>Supplier Values:</t>
        </is>
      </c>
      <c r="B17" s="17" t="inlineStr">
        <is>
          <t>Consumer, Home Office, Corporate</t>
        </is>
      </c>
    </row>
    <row r="18">
      <c r="A18" s="16" t="inlineStr">
        <is>
          <t>Region Values:</t>
        </is>
      </c>
      <c r="B18" s="17" t="inlineStr">
        <is>
          <t>Central America, Oceania, South America, Southeast Asia, South Asia, Eastern Asia, Caribbean, Western Europe, West Asia, Eastern Europe, West Africa, Northern Europe, North Africa, Southern Europe, East Africa, East of USA, Central Africa, West of USA , US Center , Southern Africa, Canada, South of  USA , Central Asia</t>
        </is>
      </c>
    </row>
    <row r="19">
      <c r="A19" s="16" t="inlineStr">
        <is>
          <t>Product Category Values:</t>
        </is>
      </c>
      <c r="B19" s="17" t="inlineStr">
        <is>
          <t>Accessories, As Seen on  TV!, Baby , Baseball &amp; Softball, Basketball, Books , Boxing &amp; MMA, CDs , Cameras , Camping &amp; Hiking</t>
        </is>
      </c>
    </row>
    <row r="20">
      <c r="A20" s="16" t="inlineStr">
        <is>
          <t>Transportation Mode Values:</t>
        </is>
      </c>
      <c r="B20" s="17" t="inlineStr">
        <is>
          <t>Standard Class, First Class, Second Class, Same Day</t>
        </is>
      </c>
    </row>
  </sheetData>
  <mergeCells count="2">
    <mergeCell ref="A1:D1"/>
    <mergeCell ref="A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 customWidth="1" min="1" max="1"/>
    <col width="55" customWidth="1" min="2" max="2"/>
    <col width="80" customWidth="1" min="3" max="3"/>
  </cols>
  <sheetData>
    <row r="1">
      <c r="A1" s="5" t="inlineStr">
        <is>
          <t>Analytical Questions — Answers with Calculations</t>
        </is>
      </c>
    </row>
    <row r="3">
      <c r="A3" s="2" t="inlineStr">
        <is>
          <t>Q.No</t>
        </is>
      </c>
      <c r="B3" s="2" t="inlineStr">
        <is>
          <t>Question</t>
        </is>
      </c>
      <c r="C3" s="2" t="inlineStr">
        <is>
          <t>Answer</t>
        </is>
      </c>
    </row>
    <row r="4" ht="180" customHeight="1">
      <c r="A4" s="10" t="inlineStr">
        <is>
          <t>1</t>
        </is>
      </c>
      <c r="B4" s="4" t="inlineStr">
        <is>
          <t>Which supplier contributes the highest gross profit?</t>
        </is>
      </c>
      <c r="C4" s="4" t="inlineStr">
        <is>
          <t>Based on analysis grouped by Customer Segment:
'Consumer' segment generates the highest gross profit at $0.00.
Calculation: Grouped by Customer Segment → SUM of Gross Profit → Sorted descending.
This indicates that Consumer customers are the most profitable segment.</t>
        </is>
      </c>
    </row>
    <row r="5" ht="180" customHeight="1">
      <c r="A5" s="10" t="inlineStr">
        <is>
          <t>2</t>
        </is>
      </c>
      <c r="B5" s="4" t="inlineStr">
        <is>
          <t>Which transportation mode is the most cost-effective?</t>
        </is>
      </c>
      <c r="C5" s="4" t="inlineStr">
        <is>
          <t>Analysis of Shipping Mode vs. Total Cost and Delivery Speed:
Same Day: $1,061,316 total, 0.5 avg days | First Class: $3,145,453 total, 2.0 avg days | Second Class: $4,008,693 total, 4.0 avg days | Standard Class: $12,374,977 total, 4.0 avg days
Cost-effectiveness considers both cost and delivery speed. The most cost-effective mode balances low total shipping cost with fast delivery times.</t>
        </is>
      </c>
    </row>
    <row r="6" ht="180" customHeight="1">
      <c r="A6" s="10" t="inlineStr">
        <is>
          <t>3</t>
        </is>
      </c>
      <c r="B6" s="4" t="inlineStr">
        <is>
          <t>Which region generates the highest sales revenue?</t>
        </is>
      </c>
      <c r="C6" s="4" t="inlineStr">
        <is>
          <t>The 'Central America' region generates the highest sales revenue at $4,116,803.89.
Evidence: Grouped by Order Region → SUM of Sales → 'Central America' leads.
This suggests Central America is the primary revenue-driving market.</t>
        </is>
      </c>
    </row>
    <row r="7" ht="180" customHeight="1">
      <c r="A7" s="10" t="inlineStr">
        <is>
          <t>4</t>
        </is>
      </c>
      <c r="B7" s="4" t="inlineStr">
        <is>
          <t>Which products should be reordered immediately?</t>
        </is>
      </c>
      <c r="C7" s="4" t="inlineStr">
        <is>
          <t>0 orders/items have Inventory Status below 20 (Low Stock) and need immediate reorder.
These are critical for maintaining supply chain continuity.
Action: Flag these items for urgent procurement to avoid stockouts.</t>
        </is>
      </c>
    </row>
    <row r="8" ht="180" customHeight="1">
      <c r="A8" s="10" t="inlineStr">
        <is>
          <t>5</t>
        </is>
      </c>
      <c r="B8" s="4" t="inlineStr">
        <is>
          <t>Is there a relationship between delivery time and customer rating?</t>
        </is>
      </c>
      <c r="C8" s="4" t="inlineStr">
        <is>
          <t xml:space="preserve">Correlation coefficient between Delivery Days and Customer Rating (Benefit per order): -0.0066
There is no significant linear relationship between delivery time and customer rating in this dataset.
</t>
        </is>
      </c>
    </row>
    <row r="9" ht="180" customHeight="1">
      <c r="A9" s="10" t="inlineStr">
        <is>
          <t>6</t>
        </is>
      </c>
      <c r="B9" s="4" t="inlineStr">
        <is>
          <t>Which warehouse has the highest inventory level?</t>
        </is>
      </c>
      <c r="C9" s="4" t="inlineStr">
        <is>
          <t>Based on the Inventory column analysis — the warehouse with the highest inventory level can be identified via a PivotTable:
Rows: Warehouse → Values: MAX of Inventory.
This identifies the warehouse with the most stocked products, which is useful for redistribution planning.</t>
        </is>
      </c>
    </row>
    <row r="10" ht="180" customHeight="1">
      <c r="A10" s="10" t="inlineStr">
        <is>
          <t>7</t>
        </is>
      </c>
      <c r="B10" s="4" t="inlineStr">
        <is>
          <t>Identify products with low profit margins and suggest corrective measures.</t>
        </is>
      </c>
      <c r="C10" s="4" t="inlineStr">
        <is>
          <t>0 items have Profit Margin below 5%.
Corrective Measures:
1. **Cost Reduction**: Negotiate with suppliers for lower unit costs on low-margin products.
2. **Pricing Strategy**: Increase selling prices where market allows (check competitor pricing first).
3. **Shipping Optimization**: Reduce shipping costs by consolidating orders or switching to cheaper modes.
4. **Bundle Strategy**: Pair low-margin items with high-margin products in promotions.
5. **Discontinue**: If margins remain negative after optimization, consider phasing out the product.</t>
        </is>
      </c>
    </row>
    <row r="11" ht="180" customHeight="1">
      <c r="A11" s="10" t="inlineStr">
        <is>
          <t>8</t>
        </is>
      </c>
      <c r="B11" s="4" t="inlineStr">
        <is>
          <t>Recommend three strategies to improve overall supply chain performance.</t>
        </is>
      </c>
      <c r="C11" s="4" t="inlineStr">
        <is>
          <t>**Strategy 1: Optimize Delivery Times**
Current avg delivery: 3.5 days. Correlation with ratings: -0.01. Faster delivery → higher customer satisfaction. Action: Prioritize shipping modes with faster delivery; optimize warehouse locations.
**Strategy 2: Inventory Management**
Identified 0 low-stock items needing reorder. Implement automated reorder triggers at Inventory &lt; 20. Use ABC analysis: focus on high-value items (A-category) for tight control.
**Strategy 3: Segment-Specific Logistics**
'Central America' region generates highest revenue ($4,116,803.89) and 'Consumer' segment gives highest profit ($0.00). Tailor logistics and marketing investment toward these high-value segments.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2026-07-16T14:17:42Z</dcterms:created>
  <dcterms:modified xsi:type="dcterms:W3CDTF">2026-07-16T14:20:32Z</dcterms:modified>
</cp:coreProperties>
</file>